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0dbdbd9d1a1871/Desktop/SEMESTER 4 SUBJECTS/Business Intelligence/"/>
    </mc:Choice>
  </mc:AlternateContent>
  <xr:revisionPtr revIDLastSave="48" documentId="8_{679CACB5-B028-46B6-B03B-F77154D2E469}" xr6:coauthVersionLast="47" xr6:coauthVersionMax="47" xr10:uidLastSave="{377CD936-3014-4091-9F4E-38FF572771DF}"/>
  <bookViews>
    <workbookView xWindow="-120" yWindow="-120" windowWidth="22845" windowHeight="13740" activeTab="1" xr2:uid="{70C0EA53-98AC-4256-9579-76481E3CE535}"/>
  </bookViews>
  <sheets>
    <sheet name="Employee" sheetId="1" r:id="rId1"/>
    <sheet name="Attendance" sheetId="7" r:id="rId2"/>
    <sheet name="Customers" sheetId="3" r:id="rId3"/>
    <sheet name="Inventory" sheetId="2" r:id="rId4"/>
    <sheet name="Sales" sheetId="5" r:id="rId5"/>
    <sheet name="Refund_return" sheetId="4" r:id="rId6"/>
  </sheets>
  <definedNames>
    <definedName name="_xlnm._FilterDatabase" localSheetId="2" hidden="1">Customers!$D$1:$D$51</definedName>
    <definedName name="_xlnm._FilterDatabase" localSheetId="0" hidden="1">Employee!$E$1:$E$56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7" l="1"/>
  <c r="F2" i="7"/>
  <c r="H3" i="7"/>
  <c r="H2" i="7"/>
  <c r="G2" i="7"/>
  <c r="F3" i="7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31" i="5"/>
  <c r="F30" i="5"/>
  <c r="F20" i="5"/>
  <c r="F21" i="5"/>
  <c r="F22" i="5"/>
  <c r="F23" i="5"/>
  <c r="F24" i="5"/>
  <c r="F25" i="5"/>
  <c r="F26" i="5"/>
  <c r="F27" i="5"/>
  <c r="F28" i="5"/>
  <c r="F29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J13" i="5" l="1"/>
  <c r="J11" i="5"/>
  <c r="J9" i="5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2" i="3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<sst xmlns="http://schemas.openxmlformats.org/spreadsheetml/2006/main" count="652" uniqueCount="354">
  <si>
    <t>Employee Name</t>
  </si>
  <si>
    <t>Time In</t>
  </si>
  <si>
    <t>Time Out</t>
  </si>
  <si>
    <t>Duration</t>
  </si>
  <si>
    <t>Status</t>
  </si>
  <si>
    <t>Ejaz Ibrahim</t>
  </si>
  <si>
    <t>Present</t>
  </si>
  <si>
    <t>Absent</t>
  </si>
  <si>
    <t>Habib Ikram</t>
  </si>
  <si>
    <t>Fahad Faisal</t>
  </si>
  <si>
    <t>Asif Abbas</t>
  </si>
  <si>
    <t>Jalal Khayy</t>
  </si>
  <si>
    <t>Latif Lehri</t>
  </si>
  <si>
    <t>Madiha Zahid</t>
  </si>
  <si>
    <t>Bushra Ashraf</t>
  </si>
  <si>
    <t>Dania Zulfiqar</t>
  </si>
  <si>
    <t>Sana Taimur</t>
  </si>
  <si>
    <t>Ruqayya Rehan</t>
  </si>
  <si>
    <t>Saba Umar</t>
  </si>
  <si>
    <t xml:space="preserve">Safa Irfan </t>
  </si>
  <si>
    <t>Saima Salman</t>
  </si>
  <si>
    <t>Urooj Zaheer</t>
  </si>
  <si>
    <t>Yahya Younus</t>
  </si>
  <si>
    <t>Komal Fareed</t>
  </si>
  <si>
    <t>Humaira Faiz</t>
  </si>
  <si>
    <t>Nimra Salim</t>
  </si>
  <si>
    <t>Osa Nizi</t>
  </si>
  <si>
    <t>Nadim Nasir</t>
  </si>
  <si>
    <t>Farhan Gohar</t>
  </si>
  <si>
    <t>Babar Az</t>
  </si>
  <si>
    <t>Fawad Karukh</t>
  </si>
  <si>
    <t>Omar Naseem</t>
  </si>
  <si>
    <t>Zain Khan</t>
  </si>
  <si>
    <t xml:space="preserve">Ali Shah </t>
  </si>
  <si>
    <t>Sufyan Sulaiman</t>
  </si>
  <si>
    <t>Zara Rizwan</t>
  </si>
  <si>
    <t>Muneeb Shafi</t>
  </si>
  <si>
    <t>Sultan Shahbaz</t>
  </si>
  <si>
    <t>Reez Raza</t>
  </si>
  <si>
    <t>Abdul Moiz</t>
  </si>
  <si>
    <t>Musa Yaseen</t>
  </si>
  <si>
    <t>Muhmad Nabeel</t>
  </si>
  <si>
    <t xml:space="preserve">Kazim Khan </t>
  </si>
  <si>
    <t>Abdul Qadir</t>
  </si>
  <si>
    <t>Muhmad Anis</t>
  </si>
  <si>
    <t xml:space="preserve">Zubair Hassan </t>
  </si>
  <si>
    <t>Saad Latif</t>
  </si>
  <si>
    <t>Muzmil Hussain</t>
  </si>
  <si>
    <t>Parvez Hasnain</t>
  </si>
  <si>
    <t>Umar Sarfaraz</t>
  </si>
  <si>
    <t>Zafar Zahid</t>
  </si>
  <si>
    <t>Lubna Mannan</t>
  </si>
  <si>
    <t>Yasmin Zayed</t>
  </si>
  <si>
    <t>Qirat Shehryar</t>
  </si>
  <si>
    <t>Zoya Usman</t>
  </si>
  <si>
    <t xml:space="preserve">Sadia Aslam  </t>
  </si>
  <si>
    <t>S.No</t>
  </si>
  <si>
    <t>Product ID</t>
  </si>
  <si>
    <t>Product Name</t>
  </si>
  <si>
    <t>Product Count</t>
  </si>
  <si>
    <t>Reorder Level</t>
  </si>
  <si>
    <t>SND-2034</t>
  </si>
  <si>
    <t xml:space="preserve">Quilt cover  </t>
  </si>
  <si>
    <t>PYT-3098</t>
  </si>
  <si>
    <t>6 pc comforter set</t>
  </si>
  <si>
    <t>JPTY-1634</t>
  </si>
  <si>
    <t>Bed frame with night stand</t>
  </si>
  <si>
    <t>GLXT-1920</t>
  </si>
  <si>
    <t>LDS-7655</t>
  </si>
  <si>
    <t>Velvet hoodie</t>
  </si>
  <si>
    <t>LDS-9887</t>
  </si>
  <si>
    <t>Black leather jacket</t>
  </si>
  <si>
    <t>LDS-7622</t>
  </si>
  <si>
    <t>Pret Shirt</t>
  </si>
  <si>
    <t>LDS-0997</t>
  </si>
  <si>
    <t>Fashion Shirt</t>
  </si>
  <si>
    <t>PPE-3455</t>
  </si>
  <si>
    <t>Non woven PPE suit</t>
  </si>
  <si>
    <t>PPE-4555</t>
  </si>
  <si>
    <t>Non woven face mask</t>
  </si>
  <si>
    <t>PPE-6555</t>
  </si>
  <si>
    <t>Safety goggles</t>
  </si>
  <si>
    <t>LT-8773</t>
  </si>
  <si>
    <t>Navy trousers</t>
  </si>
  <si>
    <t>LT-4554</t>
  </si>
  <si>
    <t>Black trousers</t>
  </si>
  <si>
    <t>LT-4333</t>
  </si>
  <si>
    <t>EMB black trouser</t>
  </si>
  <si>
    <t>GTS-5563</t>
  </si>
  <si>
    <t>Soft shell jacket</t>
  </si>
  <si>
    <t>GTS-4111</t>
  </si>
  <si>
    <t>Sweat Shirt</t>
  </si>
  <si>
    <t>GTS-4777</t>
  </si>
  <si>
    <t>Black T-shirt</t>
  </si>
  <si>
    <t>GTS-5522</t>
  </si>
  <si>
    <t>Black Shalwar Kameez</t>
  </si>
  <si>
    <t>GTS-8877</t>
  </si>
  <si>
    <t>Brown Shalwar Kameez</t>
  </si>
  <si>
    <t>Blue Shalwar Kameez</t>
  </si>
  <si>
    <t>Beige formal shirt</t>
  </si>
  <si>
    <t>White formal shirt</t>
  </si>
  <si>
    <t>Denim Jeans</t>
  </si>
  <si>
    <t>Denim straight pants</t>
  </si>
  <si>
    <t>KDS-5644</t>
  </si>
  <si>
    <t>Girls frock</t>
  </si>
  <si>
    <t>KDS-7776</t>
  </si>
  <si>
    <t>Pink jegging</t>
  </si>
  <si>
    <t>KDS-4334</t>
  </si>
  <si>
    <t>Green jegging</t>
  </si>
  <si>
    <t>KDS-4666</t>
  </si>
  <si>
    <t>Burgandy trouser</t>
  </si>
  <si>
    <t>KDS-3344</t>
  </si>
  <si>
    <t>Zinc trouser</t>
  </si>
  <si>
    <t>KDS-4343</t>
  </si>
  <si>
    <t>Denim trouser</t>
  </si>
  <si>
    <t>KDS-5523</t>
  </si>
  <si>
    <t>Black Kurta</t>
  </si>
  <si>
    <t>KDS-4555</t>
  </si>
  <si>
    <t>Fashion top blue</t>
  </si>
  <si>
    <t>KDS-3422</t>
  </si>
  <si>
    <t>Fashion night suit</t>
  </si>
  <si>
    <t>KDS-3435</t>
  </si>
  <si>
    <t>Polo Shirt</t>
  </si>
  <si>
    <t>KDS-6665</t>
  </si>
  <si>
    <t>Black shirt</t>
  </si>
  <si>
    <t>KDS-6655</t>
  </si>
  <si>
    <t>Kids sweatpant</t>
  </si>
  <si>
    <t>TWL-4455</t>
  </si>
  <si>
    <t>Prime cotton white</t>
  </si>
  <si>
    <t>TWL-6665</t>
  </si>
  <si>
    <t>Prime cotton beige</t>
  </si>
  <si>
    <t>KNK-5533</t>
  </si>
  <si>
    <t>4 sect brown storage</t>
  </si>
  <si>
    <t>KNK-6644</t>
  </si>
  <si>
    <t>6 sect brown storage</t>
  </si>
  <si>
    <t>STN-5442</t>
  </si>
  <si>
    <t>5 pc satin hangers</t>
  </si>
  <si>
    <t>BST-3444</t>
  </si>
  <si>
    <t>Rect willow basket</t>
  </si>
  <si>
    <t>LAN-4566</t>
  </si>
  <si>
    <t>Polyster laundry basket</t>
  </si>
  <si>
    <t>SCR-3444</t>
  </si>
  <si>
    <t>Round chop board</t>
  </si>
  <si>
    <t>SCR-4553</t>
  </si>
  <si>
    <t>Heart chop board</t>
  </si>
  <si>
    <t>CUR-5454</t>
  </si>
  <si>
    <t>Silver continental</t>
  </si>
  <si>
    <t>CUR-6775</t>
  </si>
  <si>
    <t>Seal grey stripe</t>
  </si>
  <si>
    <t>CUR-3566</t>
  </si>
  <si>
    <t>Carbon stones</t>
  </si>
  <si>
    <t>SWL-5656</t>
  </si>
  <si>
    <t>Pink Shawl</t>
  </si>
  <si>
    <t>SWL-7766</t>
  </si>
  <si>
    <t>Blue Shawl</t>
  </si>
  <si>
    <t>Customer ID</t>
  </si>
  <si>
    <t>Invoice ID</t>
  </si>
  <si>
    <t>Customer Name</t>
  </si>
  <si>
    <t>Address</t>
  </si>
  <si>
    <t>Contact Number</t>
  </si>
  <si>
    <t>Item purchased</t>
  </si>
  <si>
    <t>Quantity purchased</t>
  </si>
  <si>
    <t>Unit price</t>
  </si>
  <si>
    <t>Total amount</t>
  </si>
  <si>
    <t>Aamir Abbas</t>
  </si>
  <si>
    <t>Abrar Adil</t>
  </si>
  <si>
    <t>Ayesha Sohail</t>
  </si>
  <si>
    <t>Aiza Hammad</t>
  </si>
  <si>
    <t>Akbar Ali</t>
  </si>
  <si>
    <t>Asad Ayaz</t>
  </si>
  <si>
    <t>Maria Hassan</t>
  </si>
  <si>
    <t>Babar Arif</t>
  </si>
  <si>
    <t>Haniya Akbar</t>
  </si>
  <si>
    <t>Sanya Saad</t>
  </si>
  <si>
    <t>Aruba Jamal</t>
  </si>
  <si>
    <t>Atiya Rauf</t>
  </si>
  <si>
    <t>Azra Faisal</t>
  </si>
  <si>
    <t>Naila Dilawar</t>
  </si>
  <si>
    <t>Uzma</t>
  </si>
  <si>
    <t>Faarook Haider</t>
  </si>
  <si>
    <t>Haider Ali</t>
  </si>
  <si>
    <t>Feroz Khan</t>
  </si>
  <si>
    <t>Kulsoom Iqbal</t>
  </si>
  <si>
    <t>Gulam Gohar</t>
  </si>
  <si>
    <t>Madiha Ali</t>
  </si>
  <si>
    <t>Saman Khan</t>
  </si>
  <si>
    <t>Shahid Ali</t>
  </si>
  <si>
    <t>Marina Ejaz</t>
  </si>
  <si>
    <t>Mehreen Farid</t>
  </si>
  <si>
    <t>Furqan Qadir</t>
  </si>
  <si>
    <t>Fatima Amjad</t>
  </si>
  <si>
    <t>Ansar Abbasi</t>
  </si>
  <si>
    <t xml:space="preserve">Siddiq Baloch </t>
  </si>
  <si>
    <t>Rabiah Jameel</t>
  </si>
  <si>
    <t>Meher Bukhari</t>
  </si>
  <si>
    <t>Mishal Husain</t>
  </si>
  <si>
    <t xml:space="preserve">Irfan Hussain </t>
  </si>
  <si>
    <t>Mubasher Hassan</t>
  </si>
  <si>
    <t>Tahir Mirza</t>
  </si>
  <si>
    <t xml:space="preserve">Javed Malik </t>
  </si>
  <si>
    <t>Hameed Gul</t>
  </si>
  <si>
    <t>Mumtaz Khan</t>
  </si>
  <si>
    <t>Muhammad Saleem</t>
  </si>
  <si>
    <t>Mahmood Hussain</t>
  </si>
  <si>
    <t>Shaukat Mehmood</t>
  </si>
  <si>
    <t xml:space="preserve">Akhtar Jamal </t>
  </si>
  <si>
    <t>Mir Soomro</t>
  </si>
  <si>
    <t>Asma Waqas</t>
  </si>
  <si>
    <t>Muhammad Saad</t>
  </si>
  <si>
    <t>Agha Ali</t>
  </si>
  <si>
    <t>Sana Waqar</t>
  </si>
  <si>
    <t>Ahmed Ali</t>
  </si>
  <si>
    <t>Daniyal Mirza</t>
  </si>
  <si>
    <t>Abdul Haseeb</t>
  </si>
  <si>
    <t>Item returned</t>
  </si>
  <si>
    <t>Amount refunded</t>
  </si>
  <si>
    <t>Branch</t>
  </si>
  <si>
    <t>City</t>
  </si>
  <si>
    <t>Unit Price</t>
  </si>
  <si>
    <t>Quantity</t>
  </si>
  <si>
    <t>Total Amount</t>
  </si>
  <si>
    <t>Karachi</t>
  </si>
  <si>
    <t>Islamabad</t>
  </si>
  <si>
    <t>Lahore</t>
  </si>
  <si>
    <t>750-67-8428</t>
  </si>
  <si>
    <t>226-31-3081</t>
  </si>
  <si>
    <t>631-41-3108</t>
  </si>
  <si>
    <t>123-19-1176</t>
  </si>
  <si>
    <t>373-73-7910</t>
  </si>
  <si>
    <t>699-14-3026</t>
  </si>
  <si>
    <t>355-53-5943</t>
  </si>
  <si>
    <t>315-22-5665</t>
  </si>
  <si>
    <t>665-32-9167</t>
  </si>
  <si>
    <t>692-92-5582</t>
  </si>
  <si>
    <t>351-62-0822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</si>
  <si>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</si>
  <si>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</si>
  <si>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</si>
  <si>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</si>
  <si>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</si>
  <si>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</si>
  <si>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</si>
  <si>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</si>
  <si>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</si>
  <si>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</si>
  <si>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</si>
  <si>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</si>
  <si>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</si>
  <si>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</si>
  <si>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</si>
  <si>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</si>
  <si>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</si>
  <si>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</si>
  <si>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</si>
  <si>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</si>
  <si>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</si>
  <si>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</si>
  <si>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</si>
  <si>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</si>
  <si>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</si>
  <si>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</si>
  <si>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</si>
  <si>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</si>
  <si>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</si>
  <si>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</si>
  <si>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</si>
  <si>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</si>
  <si>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</si>
  <si>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</si>
  <si>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</si>
  <si>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</si>
  <si>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</si>
  <si>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</si>
  <si>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553-98-1000</t>
  </si>
  <si>
    <t>Number of visits</t>
  </si>
  <si>
    <t>A</t>
  </si>
  <si>
    <t>B</t>
  </si>
  <si>
    <t>C</t>
  </si>
  <si>
    <t xml:space="preserve">Islamabad </t>
  </si>
  <si>
    <t>Total sales</t>
  </si>
  <si>
    <t xml:space="preserve">Present </t>
  </si>
  <si>
    <t xml:space="preserve">Absent </t>
  </si>
  <si>
    <t>Count</t>
  </si>
  <si>
    <t>Branch Code</t>
  </si>
  <si>
    <t xml:space="preserve">Attendance </t>
  </si>
  <si>
    <t>Attendance</t>
  </si>
  <si>
    <t xml:space="preserve">Chocolate biscuits </t>
  </si>
  <si>
    <t>Cupcakes</t>
  </si>
  <si>
    <t>Wafers</t>
  </si>
  <si>
    <t xml:space="preserve">Chocolates </t>
  </si>
  <si>
    <t xml:space="preserve">Chips </t>
  </si>
  <si>
    <t>Popcorn</t>
  </si>
  <si>
    <t>Tea</t>
  </si>
  <si>
    <t>Coffee</t>
  </si>
  <si>
    <t xml:space="preserve">Milk - 1 litre </t>
  </si>
  <si>
    <t xml:space="preserve">Yoghurt - 1 kg </t>
  </si>
  <si>
    <t xml:space="preserve">Bread </t>
  </si>
  <si>
    <t>Frozen nuggets</t>
  </si>
  <si>
    <t>Frozen patties</t>
  </si>
  <si>
    <t>Frozen vegetables</t>
  </si>
  <si>
    <t>Mango juice</t>
  </si>
  <si>
    <t xml:space="preserve">Apple juice </t>
  </si>
  <si>
    <t>Water</t>
  </si>
  <si>
    <t>Soft drinks - 1 litre</t>
  </si>
  <si>
    <t>Syrup</t>
  </si>
  <si>
    <t xml:space="preserve">LED tv </t>
  </si>
  <si>
    <t>Washing machine</t>
  </si>
  <si>
    <t xml:space="preserve">Vacuum cleaner </t>
  </si>
  <si>
    <t xml:space="preserve">Refregirator </t>
  </si>
  <si>
    <t>Microwave oven</t>
  </si>
  <si>
    <t xml:space="preserve">Water dispenser </t>
  </si>
  <si>
    <t>Samsung phone</t>
  </si>
  <si>
    <t xml:space="preserve">Xiaomi phone </t>
  </si>
  <si>
    <t>Heater</t>
  </si>
  <si>
    <t>Geyser</t>
  </si>
  <si>
    <t>Blender</t>
  </si>
  <si>
    <t>Juicer</t>
  </si>
  <si>
    <t>Large towel</t>
  </si>
  <si>
    <t>Small towel</t>
  </si>
  <si>
    <t xml:space="preserve">Large suitcase </t>
  </si>
  <si>
    <t xml:space="preserve">Compact suitcase </t>
  </si>
  <si>
    <t>Beard and body trimmer</t>
  </si>
  <si>
    <t>Shampoo</t>
  </si>
  <si>
    <t>Soap</t>
  </si>
  <si>
    <t xml:space="preserve">Floor cleaner </t>
  </si>
  <si>
    <t>Bathroom cleaner</t>
  </si>
  <si>
    <t>Window cleaner</t>
  </si>
  <si>
    <t xml:space="preserve">Chocolate ice cream </t>
  </si>
  <si>
    <t>Vanilla ice cream</t>
  </si>
  <si>
    <t>Face wash</t>
  </si>
  <si>
    <t xml:space="preserve">Mouth wash </t>
  </si>
  <si>
    <t xml:space="preserve">Tooth brush </t>
  </si>
  <si>
    <t>Toothpaste</t>
  </si>
  <si>
    <t>SWL-7767</t>
  </si>
  <si>
    <t>SWL-7768</t>
  </si>
  <si>
    <t>Price (PKR)</t>
  </si>
  <si>
    <t>Water - 500ml</t>
  </si>
  <si>
    <t>Apple juice</t>
  </si>
  <si>
    <t>Tooth brush</t>
  </si>
  <si>
    <t>Large suitcase</t>
  </si>
  <si>
    <t>Refregirator</t>
  </si>
  <si>
    <t>Large Towel</t>
  </si>
  <si>
    <t>LED tv</t>
  </si>
  <si>
    <t>Vacuum cleaner</t>
  </si>
  <si>
    <t>Xiaomi phone</t>
  </si>
  <si>
    <t>Yogurt - 1 kg</t>
  </si>
  <si>
    <t>Bread</t>
  </si>
  <si>
    <t>Washing Machine</t>
  </si>
  <si>
    <t>Floor cleaner</t>
  </si>
  <si>
    <t>Led tv</t>
  </si>
  <si>
    <t>Name</t>
  </si>
  <si>
    <t>Day 1</t>
  </si>
  <si>
    <t>Day 2</t>
  </si>
  <si>
    <t>Day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</si>
</sst>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s&quot;#,##0;[Red]\-&quot;Rs&quot;#,##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3" fillId="3" borderId="1" applyNumberFormat="0" applyAlignment="0" applyProtection="0"/>
  </cellStyleXfs>
  <cellXfs count="13">
    <xf numFmtId="0" fontId="0" fillId="0" borderId="0" xfId="0"/>
    <xf numFmtId="20" fontId="0" fillId="0" borderId="0" xfId="0" applyNumberFormat="1"/>
    <xf numFmtId="3" fontId="0" fillId="0" borderId="0" xfId="0" applyNumberFormat="1"/>
    <xf numFmtId="0" fontId="0" fillId="0" borderId="0" xfId="0" applyNumberFormat="1"/>
    <xf numFmtId="0" fontId="0" fillId="0" borderId="0" xfId="0" applyAlignment="1"/>
    <xf numFmtId="14" fontId="0" fillId="0" borderId="0" xfId="0" applyNumberFormat="1" applyAlignment="1"/>
    <xf numFmtId="164" fontId="2" fillId="2" borderId="1" xfId="1" applyNumberFormat="1"/>
    <xf numFmtId="0" fontId="2" fillId="2" borderId="1" xfId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3" borderId="1" xfId="2"/>
    <xf numFmtId="0" fontId="0" fillId="0" borderId="0" xfId="0" applyAlignment="1">
      <alignment horizontal="center"/>
    </xf>
  </cellXfs>
  <cellStyles count="3">
    <cellStyle name="Calculation" xfId="2" builtinId="22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D3231-EB1C-4016-A7E8-758E1D0F2656}">
  <dimension ref="A1:E58"/>
  <sheetViews>
    <sheetView workbookViewId="0">
      <selection activeCell="J11" sqref="J11"/>
    </sheetView>
  </sheetViews>
  <sheetFormatPr defaultRowHeight="15" x14ac:dyDescent="0.25"/>
  <cols>
    <col min="1" max="1" width="14.7109375" bestFit="1" customWidth="1"/>
    <col min="2" max="2" width="7" bestFit="1" customWidth="1"/>
    <col min="3" max="3" width="8.42578125" bestFit="1" customWidth="1"/>
    <col min="4" max="4" width="8.28515625" bestFit="1" customWidth="1"/>
    <col min="5" max="5" width="8.28515625" style="3" customWidth="1"/>
    <col min="7" max="7" width="10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3" t="s">
        <v>4</v>
      </c>
    </row>
    <row r="2" spans="1:5" x14ac:dyDescent="0.25">
      <c r="A2" t="s">
        <v>5</v>
      </c>
      <c r="B2" s="1">
        <v>0.375</v>
      </c>
      <c r="C2" s="1">
        <v>0.75</v>
      </c>
      <c r="D2" s="1">
        <f t="shared" ref="D2:D16" si="0">C2-B2</f>
        <v>0.375</v>
      </c>
      <c r="E2" s="3">
        <v>1</v>
      </c>
    </row>
    <row r="3" spans="1:5" x14ac:dyDescent="0.25">
      <c r="A3" t="s">
        <v>8</v>
      </c>
      <c r="B3" s="1">
        <v>0.375</v>
      </c>
      <c r="C3" s="1">
        <v>0.75</v>
      </c>
      <c r="D3" s="1">
        <f t="shared" si="0"/>
        <v>0.375</v>
      </c>
      <c r="E3" s="3">
        <v>1</v>
      </c>
    </row>
    <row r="4" spans="1:5" x14ac:dyDescent="0.25">
      <c r="A4" t="s">
        <v>9</v>
      </c>
      <c r="B4" s="1">
        <v>0.375</v>
      </c>
      <c r="C4" s="1">
        <v>0.75</v>
      </c>
      <c r="D4" s="1">
        <f t="shared" si="0"/>
        <v>0.375</v>
      </c>
      <c r="E4" s="3">
        <v>1</v>
      </c>
    </row>
    <row r="5" spans="1:5" x14ac:dyDescent="0.25">
      <c r="A5" t="s">
        <v>10</v>
      </c>
      <c r="B5" s="1">
        <v>0.375</v>
      </c>
      <c r="C5" s="1">
        <v>0.75</v>
      </c>
      <c r="D5" s="1">
        <f t="shared" si="0"/>
        <v>0.375</v>
      </c>
      <c r="E5" s="3">
        <v>1</v>
      </c>
    </row>
    <row r="6" spans="1:5" x14ac:dyDescent="0.25">
      <c r="A6" t="s">
        <v>11</v>
      </c>
      <c r="B6" s="1">
        <v>0.45833333333333331</v>
      </c>
      <c r="C6" s="1">
        <v>0.72916666666666663</v>
      </c>
      <c r="D6" s="1">
        <f t="shared" si="0"/>
        <v>0.27083333333333331</v>
      </c>
      <c r="E6" s="3">
        <v>1</v>
      </c>
    </row>
    <row r="7" spans="1:5" x14ac:dyDescent="0.25">
      <c r="A7" t="s">
        <v>12</v>
      </c>
      <c r="B7" s="1">
        <v>0.375</v>
      </c>
      <c r="C7" s="1">
        <v>0.75</v>
      </c>
      <c r="D7" s="1">
        <f t="shared" si="0"/>
        <v>0.375</v>
      </c>
      <c r="E7" s="3">
        <v>1</v>
      </c>
    </row>
    <row r="8" spans="1:5" x14ac:dyDescent="0.25">
      <c r="A8" t="s">
        <v>13</v>
      </c>
      <c r="B8" s="1">
        <v>0.375</v>
      </c>
      <c r="C8" s="1">
        <v>0.75</v>
      </c>
      <c r="D8" s="1">
        <f t="shared" si="0"/>
        <v>0.375</v>
      </c>
      <c r="E8" s="3">
        <v>1</v>
      </c>
    </row>
    <row r="9" spans="1:5" x14ac:dyDescent="0.25">
      <c r="A9" t="s">
        <v>14</v>
      </c>
      <c r="B9" s="1">
        <v>0.375</v>
      </c>
      <c r="C9" s="1">
        <v>0.75</v>
      </c>
      <c r="D9" s="1">
        <f t="shared" si="0"/>
        <v>0.375</v>
      </c>
      <c r="E9" s="3">
        <v>1</v>
      </c>
    </row>
    <row r="10" spans="1:5" x14ac:dyDescent="0.25">
      <c r="A10" t="s">
        <v>15</v>
      </c>
      <c r="B10" s="1">
        <v>0.375</v>
      </c>
      <c r="C10" s="1">
        <v>0.75</v>
      </c>
      <c r="D10" s="1">
        <f t="shared" si="0"/>
        <v>0.375</v>
      </c>
      <c r="E10" s="3">
        <v>1</v>
      </c>
    </row>
    <row r="11" spans="1:5" x14ac:dyDescent="0.25">
      <c r="A11" t="s">
        <v>16</v>
      </c>
      <c r="B11" s="1">
        <v>0.41666666666666669</v>
      </c>
      <c r="C11" s="1">
        <v>0.83333333333333337</v>
      </c>
      <c r="D11" s="1">
        <f t="shared" si="0"/>
        <v>0.41666666666666669</v>
      </c>
      <c r="E11" s="3">
        <v>1</v>
      </c>
    </row>
    <row r="12" spans="1:5" x14ac:dyDescent="0.25">
      <c r="A12" t="s">
        <v>17</v>
      </c>
      <c r="B12" s="1">
        <v>0.375</v>
      </c>
      <c r="C12" s="1">
        <v>0.75</v>
      </c>
      <c r="D12" s="1">
        <f t="shared" si="0"/>
        <v>0.375</v>
      </c>
      <c r="E12" s="3">
        <v>1</v>
      </c>
    </row>
    <row r="13" spans="1:5" x14ac:dyDescent="0.25">
      <c r="A13" t="s">
        <v>18</v>
      </c>
      <c r="B13" s="1">
        <v>0.375</v>
      </c>
      <c r="C13" s="1">
        <v>0.75</v>
      </c>
      <c r="D13" s="1">
        <f t="shared" si="0"/>
        <v>0.375</v>
      </c>
      <c r="E13" s="3">
        <v>1</v>
      </c>
    </row>
    <row r="14" spans="1:5" x14ac:dyDescent="0.25">
      <c r="A14" t="s">
        <v>19</v>
      </c>
      <c r="B14" s="1">
        <v>0.375</v>
      </c>
      <c r="C14" s="1">
        <v>0.75</v>
      </c>
      <c r="D14" s="1">
        <f t="shared" si="0"/>
        <v>0.375</v>
      </c>
      <c r="E14" s="3">
        <v>1</v>
      </c>
    </row>
    <row r="15" spans="1:5" x14ac:dyDescent="0.25">
      <c r="A15" t="s">
        <v>20</v>
      </c>
      <c r="B15" s="1">
        <v>0.375</v>
      </c>
      <c r="C15" s="1">
        <v>0.75</v>
      </c>
      <c r="D15" s="1">
        <f t="shared" si="0"/>
        <v>0.375</v>
      </c>
      <c r="E15" s="3">
        <v>1</v>
      </c>
    </row>
    <row r="16" spans="1:5" x14ac:dyDescent="0.25">
      <c r="A16" t="s">
        <v>21</v>
      </c>
      <c r="B16" s="1">
        <v>0.375</v>
      </c>
      <c r="C16" s="1">
        <v>0.75</v>
      </c>
      <c r="D16" s="1">
        <f t="shared" si="0"/>
        <v>0.375</v>
      </c>
      <c r="E16" s="3">
        <v>1</v>
      </c>
    </row>
    <row r="17" spans="1:5" x14ac:dyDescent="0.25">
      <c r="A17" t="s">
        <v>22</v>
      </c>
      <c r="B17" s="1"/>
      <c r="C17" s="1"/>
      <c r="D17" s="1"/>
      <c r="E17" s="3">
        <v>0</v>
      </c>
    </row>
    <row r="18" spans="1:5" x14ac:dyDescent="0.25">
      <c r="A18" t="s">
        <v>23</v>
      </c>
      <c r="B18" s="1"/>
      <c r="C18" s="1"/>
      <c r="D18" s="1"/>
      <c r="E18" s="3">
        <v>0</v>
      </c>
    </row>
    <row r="19" spans="1:5" x14ac:dyDescent="0.25">
      <c r="A19" t="s">
        <v>24</v>
      </c>
      <c r="B19" s="1"/>
      <c r="C19" s="1"/>
      <c r="D19" s="1"/>
      <c r="E19" s="3">
        <v>0</v>
      </c>
    </row>
    <row r="20" spans="1:5" x14ac:dyDescent="0.25">
      <c r="A20" t="s">
        <v>25</v>
      </c>
      <c r="B20" s="1">
        <v>0.41666666666666669</v>
      </c>
      <c r="C20" s="1">
        <v>0.83333333333333337</v>
      </c>
      <c r="D20" s="1">
        <f t="shared" ref="D20:D47" si="1">C20-B20</f>
        <v>0.41666666666666669</v>
      </c>
      <c r="E20" s="3">
        <v>1</v>
      </c>
    </row>
    <row r="21" spans="1:5" x14ac:dyDescent="0.25">
      <c r="A21" t="s">
        <v>26</v>
      </c>
      <c r="B21" s="1">
        <v>0.41666666666666669</v>
      </c>
      <c r="C21" s="1">
        <v>0.83333333333333337</v>
      </c>
      <c r="D21" s="1">
        <f t="shared" si="1"/>
        <v>0.41666666666666669</v>
      </c>
      <c r="E21" s="3">
        <v>1</v>
      </c>
    </row>
    <row r="22" spans="1:5" x14ac:dyDescent="0.25">
      <c r="A22" t="s">
        <v>27</v>
      </c>
      <c r="B22" s="1">
        <v>0.41666666666666669</v>
      </c>
      <c r="C22" s="1">
        <v>0.83333333333333337</v>
      </c>
      <c r="D22" s="1">
        <f t="shared" si="1"/>
        <v>0.41666666666666669</v>
      </c>
      <c r="E22" s="3">
        <v>1</v>
      </c>
    </row>
    <row r="23" spans="1:5" x14ac:dyDescent="0.25">
      <c r="A23" t="s">
        <v>28</v>
      </c>
      <c r="B23" s="1">
        <v>0.41666666666666669</v>
      </c>
      <c r="C23" s="1">
        <v>0.83333333333333337</v>
      </c>
      <c r="D23" s="1">
        <f t="shared" si="1"/>
        <v>0.41666666666666669</v>
      </c>
      <c r="E23" s="3">
        <v>1</v>
      </c>
    </row>
    <row r="24" spans="1:5" x14ac:dyDescent="0.25">
      <c r="A24" t="s">
        <v>29</v>
      </c>
      <c r="B24" s="1">
        <v>0.41666666666666669</v>
      </c>
      <c r="C24" s="1">
        <v>0.83333333333333337</v>
      </c>
      <c r="D24" s="1">
        <f t="shared" si="1"/>
        <v>0.41666666666666669</v>
      </c>
      <c r="E24" s="3">
        <v>1</v>
      </c>
    </row>
    <row r="25" spans="1:5" x14ac:dyDescent="0.25">
      <c r="A25" t="s">
        <v>30</v>
      </c>
      <c r="B25" s="1">
        <v>0.41666666666666669</v>
      </c>
      <c r="C25" s="1">
        <v>0.83333333333333337</v>
      </c>
      <c r="D25" s="1">
        <f t="shared" si="1"/>
        <v>0.41666666666666669</v>
      </c>
      <c r="E25" s="3">
        <v>1</v>
      </c>
    </row>
    <row r="26" spans="1:5" x14ac:dyDescent="0.25">
      <c r="A26" t="s">
        <v>31</v>
      </c>
      <c r="B26" s="1">
        <v>0.41666666666666669</v>
      </c>
      <c r="C26" s="1">
        <v>0.83333333333333337</v>
      </c>
      <c r="D26" s="1">
        <f t="shared" si="1"/>
        <v>0.41666666666666669</v>
      </c>
      <c r="E26" s="3">
        <v>1</v>
      </c>
    </row>
    <row r="27" spans="1:5" x14ac:dyDescent="0.25">
      <c r="A27" t="s">
        <v>32</v>
      </c>
      <c r="B27" s="1">
        <v>0.375</v>
      </c>
      <c r="C27" s="1">
        <v>0.75</v>
      </c>
      <c r="D27" s="1">
        <f t="shared" si="1"/>
        <v>0.375</v>
      </c>
      <c r="E27" s="3">
        <v>1</v>
      </c>
    </row>
    <row r="28" spans="1:5" x14ac:dyDescent="0.25">
      <c r="A28" t="s">
        <v>33</v>
      </c>
      <c r="B28" s="1">
        <v>0.375</v>
      </c>
      <c r="C28" s="1">
        <v>0.75</v>
      </c>
      <c r="D28" s="1">
        <f t="shared" si="1"/>
        <v>0.375</v>
      </c>
      <c r="E28" s="3">
        <v>1</v>
      </c>
    </row>
    <row r="29" spans="1:5" x14ac:dyDescent="0.25">
      <c r="A29" t="s">
        <v>34</v>
      </c>
      <c r="B29" s="1">
        <v>0.375</v>
      </c>
      <c r="C29" s="1">
        <v>0.75</v>
      </c>
      <c r="D29" s="1">
        <f t="shared" si="1"/>
        <v>0.375</v>
      </c>
      <c r="E29" s="3">
        <v>1</v>
      </c>
    </row>
    <row r="30" spans="1:5" x14ac:dyDescent="0.25">
      <c r="A30" t="s">
        <v>35</v>
      </c>
      <c r="B30" s="1">
        <v>0.375</v>
      </c>
      <c r="C30" s="1">
        <v>0.75</v>
      </c>
      <c r="D30" s="1">
        <f t="shared" si="1"/>
        <v>0.375</v>
      </c>
      <c r="E30" s="3">
        <v>1</v>
      </c>
    </row>
    <row r="31" spans="1:5" x14ac:dyDescent="0.25">
      <c r="A31" t="s">
        <v>36</v>
      </c>
      <c r="B31" s="1">
        <v>0.375</v>
      </c>
      <c r="C31" s="1">
        <v>0.75</v>
      </c>
      <c r="D31" s="1">
        <f t="shared" si="1"/>
        <v>0.375</v>
      </c>
      <c r="E31" s="3">
        <v>1</v>
      </c>
    </row>
    <row r="32" spans="1:5" x14ac:dyDescent="0.25">
      <c r="A32" t="s">
        <v>37</v>
      </c>
      <c r="B32" s="1">
        <v>0.375</v>
      </c>
      <c r="C32" s="1">
        <v>0.75</v>
      </c>
      <c r="D32" s="1">
        <f t="shared" si="1"/>
        <v>0.375</v>
      </c>
      <c r="E32" s="3">
        <v>1</v>
      </c>
    </row>
    <row r="33" spans="1:5" x14ac:dyDescent="0.25">
      <c r="A33" t="s">
        <v>38</v>
      </c>
      <c r="B33" s="1">
        <v>0.45833333333333331</v>
      </c>
      <c r="C33" s="1">
        <v>0.72916666666666663</v>
      </c>
      <c r="D33" s="1">
        <f t="shared" si="1"/>
        <v>0.27083333333333331</v>
      </c>
      <c r="E33" s="3">
        <v>1</v>
      </c>
    </row>
    <row r="34" spans="1:5" x14ac:dyDescent="0.25">
      <c r="A34" t="s">
        <v>39</v>
      </c>
      <c r="B34" s="1">
        <v>0.45833333333333331</v>
      </c>
      <c r="C34" s="1">
        <v>0.72916666666666663</v>
      </c>
      <c r="D34" s="1">
        <f t="shared" si="1"/>
        <v>0.27083333333333331</v>
      </c>
      <c r="E34" s="3">
        <v>1</v>
      </c>
    </row>
    <row r="35" spans="1:5" x14ac:dyDescent="0.25">
      <c r="A35" t="s">
        <v>40</v>
      </c>
      <c r="B35" s="1">
        <v>0.45833333333333331</v>
      </c>
      <c r="C35" s="1">
        <v>0.72916666666666663</v>
      </c>
      <c r="D35" s="1">
        <f t="shared" si="1"/>
        <v>0.27083333333333331</v>
      </c>
      <c r="E35" s="3">
        <v>1</v>
      </c>
    </row>
    <row r="36" spans="1:5" x14ac:dyDescent="0.25">
      <c r="A36" t="s">
        <v>41</v>
      </c>
      <c r="B36" s="1">
        <v>0.45833333333333331</v>
      </c>
      <c r="C36" s="1">
        <v>0.72916666666666663</v>
      </c>
      <c r="D36" s="1">
        <f t="shared" si="1"/>
        <v>0.27083333333333331</v>
      </c>
      <c r="E36" s="3">
        <v>1</v>
      </c>
    </row>
    <row r="37" spans="1:5" x14ac:dyDescent="0.25">
      <c r="A37" t="s">
        <v>42</v>
      </c>
      <c r="B37" s="1">
        <v>0.45833333333333331</v>
      </c>
      <c r="C37" s="1">
        <v>0.72916666666666663</v>
      </c>
      <c r="D37" s="1">
        <f t="shared" si="1"/>
        <v>0.27083333333333331</v>
      </c>
      <c r="E37" s="3">
        <v>1</v>
      </c>
    </row>
    <row r="38" spans="1:5" x14ac:dyDescent="0.25">
      <c r="A38" t="s">
        <v>43</v>
      </c>
      <c r="B38" s="1">
        <v>0.41666666666666669</v>
      </c>
      <c r="C38" s="1">
        <v>0.6875</v>
      </c>
      <c r="D38" s="1">
        <f t="shared" si="1"/>
        <v>0.27083333333333331</v>
      </c>
      <c r="E38" s="3">
        <v>1</v>
      </c>
    </row>
    <row r="39" spans="1:5" x14ac:dyDescent="0.25">
      <c r="A39" t="s">
        <v>44</v>
      </c>
      <c r="B39" s="1">
        <v>0.375</v>
      </c>
      <c r="C39" s="1">
        <v>0.75</v>
      </c>
      <c r="D39" s="1">
        <f t="shared" si="1"/>
        <v>0.375</v>
      </c>
      <c r="E39" s="3">
        <v>1</v>
      </c>
    </row>
    <row r="40" spans="1:5" x14ac:dyDescent="0.25">
      <c r="A40" t="s">
        <v>45</v>
      </c>
      <c r="B40" s="1">
        <v>0.375</v>
      </c>
      <c r="C40" s="1">
        <v>0.75</v>
      </c>
      <c r="D40" s="1">
        <f t="shared" si="1"/>
        <v>0.375</v>
      </c>
      <c r="E40" s="3">
        <v>1</v>
      </c>
    </row>
    <row r="41" spans="1:5" x14ac:dyDescent="0.25">
      <c r="A41" t="s">
        <v>46</v>
      </c>
      <c r="B41" s="1">
        <v>0.375</v>
      </c>
      <c r="C41" s="1">
        <v>0.75</v>
      </c>
      <c r="D41" s="1">
        <f t="shared" si="1"/>
        <v>0.375</v>
      </c>
      <c r="E41" s="3">
        <v>1</v>
      </c>
    </row>
    <row r="42" spans="1:5" x14ac:dyDescent="0.25">
      <c r="A42" t="s">
        <v>47</v>
      </c>
      <c r="B42" s="1">
        <v>0.375</v>
      </c>
      <c r="C42" s="1">
        <v>0.75</v>
      </c>
      <c r="D42" s="1">
        <f t="shared" si="1"/>
        <v>0.375</v>
      </c>
      <c r="E42" s="3">
        <v>1</v>
      </c>
    </row>
    <row r="43" spans="1:5" x14ac:dyDescent="0.25">
      <c r="A43" t="s">
        <v>48</v>
      </c>
      <c r="B43" s="1">
        <v>0.375</v>
      </c>
      <c r="C43" s="1">
        <v>0.75</v>
      </c>
      <c r="D43" s="1">
        <f t="shared" si="1"/>
        <v>0.375</v>
      </c>
      <c r="E43" s="3">
        <v>1</v>
      </c>
    </row>
    <row r="44" spans="1:5" x14ac:dyDescent="0.25">
      <c r="A44" t="s">
        <v>49</v>
      </c>
      <c r="B44" s="1">
        <v>0.375</v>
      </c>
      <c r="C44" s="1">
        <v>0.75</v>
      </c>
      <c r="D44" s="1">
        <f t="shared" si="1"/>
        <v>0.375</v>
      </c>
      <c r="E44" s="3">
        <v>1</v>
      </c>
    </row>
    <row r="45" spans="1:5" x14ac:dyDescent="0.25">
      <c r="A45" t="s">
        <v>50</v>
      </c>
      <c r="B45" s="1">
        <v>0.375</v>
      </c>
      <c r="C45" s="1">
        <v>0.75</v>
      </c>
      <c r="D45" s="1">
        <f t="shared" si="1"/>
        <v>0.375</v>
      </c>
      <c r="E45" s="3">
        <v>1</v>
      </c>
    </row>
    <row r="46" spans="1:5" x14ac:dyDescent="0.25">
      <c r="A46" t="s">
        <v>51</v>
      </c>
      <c r="B46" s="1">
        <v>0.375</v>
      </c>
      <c r="C46" s="1">
        <v>0.75</v>
      </c>
      <c r="D46" s="1">
        <f t="shared" si="1"/>
        <v>0.375</v>
      </c>
      <c r="E46" s="3">
        <v>1</v>
      </c>
    </row>
    <row r="47" spans="1:5" x14ac:dyDescent="0.25">
      <c r="A47" t="s">
        <v>52</v>
      </c>
      <c r="B47" s="1">
        <v>0.375</v>
      </c>
      <c r="C47" s="1">
        <v>0.75</v>
      </c>
      <c r="D47" s="1">
        <f t="shared" si="1"/>
        <v>0.375</v>
      </c>
      <c r="E47" s="3">
        <v>1</v>
      </c>
    </row>
    <row r="48" spans="1:5" x14ac:dyDescent="0.25">
      <c r="A48" t="s">
        <v>53</v>
      </c>
      <c r="B48" s="1"/>
      <c r="C48" s="1"/>
      <c r="D48" s="1"/>
      <c r="E48" s="3">
        <v>0</v>
      </c>
    </row>
    <row r="49" spans="1:5" x14ac:dyDescent="0.25">
      <c r="A49" t="s">
        <v>54</v>
      </c>
      <c r="B49" s="1"/>
      <c r="C49" s="1"/>
      <c r="D49" s="1"/>
      <c r="E49" s="3">
        <v>0</v>
      </c>
    </row>
    <row r="50" spans="1:5" x14ac:dyDescent="0.25">
      <c r="A50" t="s">
        <v>55</v>
      </c>
      <c r="B50" s="1"/>
      <c r="C50" s="1"/>
      <c r="D50" s="1"/>
      <c r="E50" s="3">
        <v>0</v>
      </c>
    </row>
    <row r="53" spans="1:5" x14ac:dyDescent="0.25">
      <c r="A53" s="4"/>
    </row>
    <row r="54" spans="1:5" x14ac:dyDescent="0.25">
      <c r="A54" s="4"/>
    </row>
    <row r="55" spans="1:5" x14ac:dyDescent="0.25">
      <c r="A55" t="s">
        <v>284</v>
      </c>
    </row>
    <row r="57" spans="1:5" x14ac:dyDescent="0.25">
      <c r="A57" t="s">
        <v>280</v>
      </c>
    </row>
    <row r="58" spans="1:5" x14ac:dyDescent="0.25">
      <c r="A58" t="s">
        <v>281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66474-DBD8-4CAA-91ED-4B75301844FE}">
  <dimension ref="A1:K50"/>
  <sheetViews>
    <sheetView tabSelected="1" workbookViewId="0">
      <selection activeCell="F4" sqref="F4"/>
    </sheetView>
  </sheetViews>
  <sheetFormatPr defaultRowHeight="15" x14ac:dyDescent="0.25"/>
  <cols>
    <col min="1" max="1" width="14.7109375" bestFit="1" customWidth="1"/>
    <col min="2" max="3" width="10.42578125" bestFit="1" customWidth="1"/>
    <col min="4" max="4" width="10.28515625" bestFit="1" customWidth="1"/>
    <col min="5" max="5" width="11.28515625" customWidth="1"/>
    <col min="7" max="7" width="10.28515625" bestFit="1" customWidth="1"/>
    <col min="13" max="13" width="10.28515625" bestFit="1" customWidth="1"/>
  </cols>
  <sheetData>
    <row r="1" spans="1:11" x14ac:dyDescent="0.25">
      <c r="A1" t="s">
        <v>350</v>
      </c>
      <c r="B1" t="s">
        <v>351</v>
      </c>
      <c r="C1" t="s">
        <v>352</v>
      </c>
      <c r="D1" t="s">
        <v>353</v>
      </c>
      <c r="E1" t="s">
        <v>285</v>
      </c>
      <c r="F1" s="12" t="s">
        <v>282</v>
      </c>
      <c r="G1" s="12"/>
      <c r="H1" s="12"/>
    </row>
    <row r="2" spans="1:11" x14ac:dyDescent="0.25">
      <c r="A2" t="s">
        <v>5</v>
      </c>
      <c r="B2" s="3">
        <v>1</v>
      </c>
      <c r="C2" s="3">
        <v>0</v>
      </c>
      <c r="D2">
        <v>1</v>
      </c>
      <c r="E2" t="s">
        <v>6</v>
      </c>
      <c r="F2">
        <f>COUNTIF(B2:B50,1)</f>
        <v>43</v>
      </c>
      <c r="G2">
        <f>COUNTIF(C2:C50,1)</f>
        <v>42</v>
      </c>
      <c r="H2">
        <f>COUNTIF(D2:D50,1)</f>
        <v>40</v>
      </c>
    </row>
    <row r="3" spans="1:11" x14ac:dyDescent="0.25">
      <c r="A3" t="s">
        <v>8</v>
      </c>
      <c r="B3" s="3">
        <v>1</v>
      </c>
      <c r="C3" s="3">
        <v>1</v>
      </c>
      <c r="D3">
        <v>0</v>
      </c>
      <c r="E3" t="s">
        <v>7</v>
      </c>
      <c r="F3">
        <f>COUNTIF(B2:B50,0)</f>
        <v>6</v>
      </c>
      <c r="G3">
        <f>COUNTIF(C2:C50,0)</f>
        <v>7</v>
      </c>
      <c r="H3">
        <f>COUNTIF(D2:D50,0)</f>
        <v>9</v>
      </c>
    </row>
    <row r="4" spans="1:11" x14ac:dyDescent="0.25">
      <c r="A4" t="s">
        <v>9</v>
      </c>
      <c r="B4" s="3">
        <v>1</v>
      </c>
      <c r="C4" s="3">
        <v>1</v>
      </c>
      <c r="D4">
        <v>0</v>
      </c>
      <c r="E4" t="s">
        <v>6</v>
      </c>
    </row>
    <row r="5" spans="1:11" x14ac:dyDescent="0.25">
      <c r="A5" t="s">
        <v>10</v>
      </c>
      <c r="B5" s="3">
        <v>1</v>
      </c>
      <c r="C5" s="3">
        <v>1</v>
      </c>
      <c r="D5">
        <v>0</v>
      </c>
      <c r="E5" t="s">
        <v>6</v>
      </c>
    </row>
    <row r="6" spans="1:11" x14ac:dyDescent="0.25">
      <c r="A6" t="s">
        <v>11</v>
      </c>
      <c r="B6" s="3">
        <v>1</v>
      </c>
      <c r="C6" s="3">
        <v>1</v>
      </c>
      <c r="D6">
        <v>0</v>
      </c>
      <c r="E6" s="5" t="s">
        <v>6</v>
      </c>
      <c r="F6" s="5"/>
      <c r="H6" s="5"/>
      <c r="I6" s="5"/>
      <c r="J6" s="5"/>
      <c r="K6" s="5"/>
    </row>
    <row r="7" spans="1:11" x14ac:dyDescent="0.25">
      <c r="A7" t="s">
        <v>12</v>
      </c>
      <c r="B7" s="3">
        <v>1</v>
      </c>
      <c r="C7" s="3">
        <v>1</v>
      </c>
      <c r="D7">
        <v>0</v>
      </c>
      <c r="E7" t="s">
        <v>7</v>
      </c>
    </row>
    <row r="8" spans="1:11" x14ac:dyDescent="0.25">
      <c r="A8" t="s">
        <v>13</v>
      </c>
      <c r="B8" s="3">
        <v>1</v>
      </c>
      <c r="C8" s="3">
        <v>1</v>
      </c>
      <c r="D8">
        <v>0</v>
      </c>
      <c r="E8" t="s">
        <v>6</v>
      </c>
    </row>
    <row r="9" spans="1:11" x14ac:dyDescent="0.25">
      <c r="A9" t="s">
        <v>14</v>
      </c>
      <c r="B9" s="3">
        <v>1</v>
      </c>
      <c r="C9" s="3">
        <v>1</v>
      </c>
      <c r="D9">
        <v>1</v>
      </c>
      <c r="E9" t="s">
        <v>6</v>
      </c>
    </row>
    <row r="10" spans="1:11" x14ac:dyDescent="0.25">
      <c r="A10" t="s">
        <v>15</v>
      </c>
      <c r="B10" s="3">
        <v>1</v>
      </c>
      <c r="C10" s="3">
        <v>1</v>
      </c>
      <c r="D10">
        <v>1</v>
      </c>
      <c r="E10" t="s">
        <v>7</v>
      </c>
    </row>
    <row r="11" spans="1:11" x14ac:dyDescent="0.25">
      <c r="A11" t="s">
        <v>16</v>
      </c>
      <c r="B11" s="3">
        <v>1</v>
      </c>
      <c r="C11" s="3">
        <v>1</v>
      </c>
      <c r="D11">
        <v>1</v>
      </c>
      <c r="E11" t="s">
        <v>7</v>
      </c>
    </row>
    <row r="12" spans="1:11" x14ac:dyDescent="0.25">
      <c r="A12" t="s">
        <v>17</v>
      </c>
      <c r="B12" s="3">
        <v>1</v>
      </c>
      <c r="C12" s="3">
        <v>1</v>
      </c>
      <c r="D12">
        <v>1</v>
      </c>
      <c r="E12" t="s">
        <v>7</v>
      </c>
    </row>
    <row r="13" spans="1:11" x14ac:dyDescent="0.25">
      <c r="A13" t="s">
        <v>18</v>
      </c>
      <c r="B13" s="3">
        <v>1</v>
      </c>
      <c r="C13" s="3">
        <v>1</v>
      </c>
      <c r="D13">
        <v>1</v>
      </c>
      <c r="E13" t="s">
        <v>6</v>
      </c>
    </row>
    <row r="14" spans="1:11" x14ac:dyDescent="0.25">
      <c r="A14" t="s">
        <v>19</v>
      </c>
      <c r="B14" s="3">
        <v>1</v>
      </c>
      <c r="C14" s="3">
        <v>1</v>
      </c>
      <c r="D14">
        <v>1</v>
      </c>
      <c r="E14" t="s">
        <v>6</v>
      </c>
    </row>
    <row r="15" spans="1:11" x14ac:dyDescent="0.25">
      <c r="A15" t="s">
        <v>20</v>
      </c>
      <c r="B15" s="3">
        <v>1</v>
      </c>
      <c r="C15" s="3">
        <v>1</v>
      </c>
      <c r="D15">
        <v>1</v>
      </c>
      <c r="E15" t="s">
        <v>6</v>
      </c>
    </row>
    <row r="16" spans="1:11" x14ac:dyDescent="0.25">
      <c r="A16" t="s">
        <v>21</v>
      </c>
      <c r="B16" s="3">
        <v>1</v>
      </c>
      <c r="C16" s="3">
        <v>1</v>
      </c>
      <c r="D16">
        <v>1</v>
      </c>
      <c r="E16" t="s">
        <v>6</v>
      </c>
    </row>
    <row r="17" spans="1:5" x14ac:dyDescent="0.25">
      <c r="A17" t="s">
        <v>22</v>
      </c>
      <c r="B17" s="3">
        <v>0</v>
      </c>
      <c r="C17" s="3">
        <v>1</v>
      </c>
      <c r="D17">
        <v>1</v>
      </c>
      <c r="E17" t="s">
        <v>6</v>
      </c>
    </row>
    <row r="18" spans="1:5" x14ac:dyDescent="0.25">
      <c r="A18" t="s">
        <v>23</v>
      </c>
      <c r="B18" s="3">
        <v>0</v>
      </c>
      <c r="C18" s="3">
        <v>1</v>
      </c>
      <c r="D18">
        <v>1</v>
      </c>
      <c r="E18" t="s">
        <v>6</v>
      </c>
    </row>
    <row r="19" spans="1:5" x14ac:dyDescent="0.25">
      <c r="A19" t="s">
        <v>24</v>
      </c>
      <c r="B19" s="3">
        <v>0</v>
      </c>
      <c r="C19" s="3">
        <v>1</v>
      </c>
      <c r="D19">
        <v>1</v>
      </c>
      <c r="E19" t="s">
        <v>7</v>
      </c>
    </row>
    <row r="20" spans="1:5" x14ac:dyDescent="0.25">
      <c r="A20" t="s">
        <v>25</v>
      </c>
      <c r="B20" s="3">
        <v>1</v>
      </c>
      <c r="C20" s="3">
        <v>1</v>
      </c>
      <c r="D20">
        <v>1</v>
      </c>
      <c r="E20" t="s">
        <v>7</v>
      </c>
    </row>
    <row r="21" spans="1:5" x14ac:dyDescent="0.25">
      <c r="A21" t="s">
        <v>26</v>
      </c>
      <c r="B21" s="3">
        <v>1</v>
      </c>
      <c r="C21" s="3">
        <v>1</v>
      </c>
      <c r="D21">
        <v>1</v>
      </c>
      <c r="E21" t="s">
        <v>6</v>
      </c>
    </row>
    <row r="22" spans="1:5" x14ac:dyDescent="0.25">
      <c r="A22" t="s">
        <v>27</v>
      </c>
      <c r="B22" s="3">
        <v>1</v>
      </c>
      <c r="C22" s="3">
        <v>1</v>
      </c>
      <c r="D22">
        <v>1</v>
      </c>
      <c r="E22" t="s">
        <v>6</v>
      </c>
    </row>
    <row r="23" spans="1:5" x14ac:dyDescent="0.25">
      <c r="A23" t="s">
        <v>28</v>
      </c>
      <c r="B23" s="3">
        <v>1</v>
      </c>
      <c r="C23" s="3">
        <v>1</v>
      </c>
      <c r="D23">
        <v>1</v>
      </c>
      <c r="E23" t="s">
        <v>6</v>
      </c>
    </row>
    <row r="24" spans="1:5" x14ac:dyDescent="0.25">
      <c r="A24" t="s">
        <v>29</v>
      </c>
      <c r="B24" s="3">
        <v>1</v>
      </c>
      <c r="C24" s="3">
        <v>1</v>
      </c>
      <c r="D24">
        <v>1</v>
      </c>
      <c r="E24" t="s">
        <v>6</v>
      </c>
    </row>
    <row r="25" spans="1:5" x14ac:dyDescent="0.25">
      <c r="A25" t="s">
        <v>30</v>
      </c>
      <c r="B25" s="3">
        <v>1</v>
      </c>
      <c r="C25" s="3">
        <v>0</v>
      </c>
      <c r="D25">
        <v>1</v>
      </c>
      <c r="E25" t="s">
        <v>6</v>
      </c>
    </row>
    <row r="26" spans="1:5" x14ac:dyDescent="0.25">
      <c r="A26" t="s">
        <v>31</v>
      </c>
      <c r="B26" s="3">
        <v>1</v>
      </c>
      <c r="C26" s="3">
        <v>0</v>
      </c>
      <c r="D26">
        <v>1</v>
      </c>
      <c r="E26" t="s">
        <v>7</v>
      </c>
    </row>
    <row r="27" spans="1:5" x14ac:dyDescent="0.25">
      <c r="A27" t="s">
        <v>32</v>
      </c>
      <c r="B27" s="3">
        <v>1</v>
      </c>
      <c r="C27" s="3">
        <v>0</v>
      </c>
      <c r="D27">
        <v>1</v>
      </c>
      <c r="E27" t="s">
        <v>7</v>
      </c>
    </row>
    <row r="28" spans="1:5" x14ac:dyDescent="0.25">
      <c r="A28" t="s">
        <v>33</v>
      </c>
      <c r="B28" s="3">
        <v>1</v>
      </c>
      <c r="C28" s="3">
        <v>0</v>
      </c>
      <c r="D28">
        <v>1</v>
      </c>
      <c r="E28" t="s">
        <v>7</v>
      </c>
    </row>
    <row r="29" spans="1:5" x14ac:dyDescent="0.25">
      <c r="A29" t="s">
        <v>34</v>
      </c>
      <c r="B29" s="3">
        <v>1</v>
      </c>
      <c r="C29" s="3">
        <v>1</v>
      </c>
      <c r="D29">
        <v>1</v>
      </c>
      <c r="E29" t="s">
        <v>6</v>
      </c>
    </row>
    <row r="30" spans="1:5" x14ac:dyDescent="0.25">
      <c r="A30" t="s">
        <v>35</v>
      </c>
      <c r="B30" s="3">
        <v>1</v>
      </c>
      <c r="C30" s="3">
        <v>1</v>
      </c>
      <c r="D30">
        <v>1</v>
      </c>
      <c r="E30" t="s">
        <v>6</v>
      </c>
    </row>
    <row r="31" spans="1:5" x14ac:dyDescent="0.25">
      <c r="A31" t="s">
        <v>36</v>
      </c>
      <c r="B31" s="3">
        <v>1</v>
      </c>
      <c r="C31" s="3">
        <v>1</v>
      </c>
      <c r="D31">
        <v>1</v>
      </c>
      <c r="E31" t="s">
        <v>6</v>
      </c>
    </row>
    <row r="32" spans="1:5" x14ac:dyDescent="0.25">
      <c r="A32" t="s">
        <v>37</v>
      </c>
      <c r="B32" s="3">
        <v>1</v>
      </c>
      <c r="C32" s="3">
        <v>1</v>
      </c>
      <c r="D32">
        <v>1</v>
      </c>
      <c r="E32" t="s">
        <v>6</v>
      </c>
    </row>
    <row r="33" spans="1:5" x14ac:dyDescent="0.25">
      <c r="A33" t="s">
        <v>38</v>
      </c>
      <c r="B33" s="3">
        <v>1</v>
      </c>
      <c r="C33" s="3">
        <v>1</v>
      </c>
      <c r="D33">
        <v>1</v>
      </c>
      <c r="E33" t="s">
        <v>6</v>
      </c>
    </row>
    <row r="34" spans="1:5" x14ac:dyDescent="0.25">
      <c r="A34" t="s">
        <v>39</v>
      </c>
      <c r="B34" s="3">
        <v>1</v>
      </c>
      <c r="C34" s="3">
        <v>1</v>
      </c>
      <c r="D34">
        <v>1</v>
      </c>
      <c r="E34" t="s">
        <v>6</v>
      </c>
    </row>
    <row r="35" spans="1:5" x14ac:dyDescent="0.25">
      <c r="A35" t="s">
        <v>40</v>
      </c>
      <c r="B35" s="3">
        <v>1</v>
      </c>
      <c r="C35" s="3">
        <v>1</v>
      </c>
      <c r="D35">
        <v>1</v>
      </c>
      <c r="E35" t="s">
        <v>6</v>
      </c>
    </row>
    <row r="36" spans="1:5" x14ac:dyDescent="0.25">
      <c r="A36" t="s">
        <v>41</v>
      </c>
      <c r="B36" s="3">
        <v>1</v>
      </c>
      <c r="C36" s="3">
        <v>1</v>
      </c>
      <c r="D36">
        <v>1</v>
      </c>
      <c r="E36" t="s">
        <v>6</v>
      </c>
    </row>
    <row r="37" spans="1:5" x14ac:dyDescent="0.25">
      <c r="A37" t="s">
        <v>42</v>
      </c>
      <c r="B37" s="3">
        <v>1</v>
      </c>
      <c r="C37" s="3">
        <v>1</v>
      </c>
      <c r="D37">
        <v>0</v>
      </c>
      <c r="E37" t="s">
        <v>7</v>
      </c>
    </row>
    <row r="38" spans="1:5" x14ac:dyDescent="0.25">
      <c r="A38" t="s">
        <v>43</v>
      </c>
      <c r="B38" s="3">
        <v>1</v>
      </c>
      <c r="C38" s="3">
        <v>1</v>
      </c>
      <c r="D38">
        <v>0</v>
      </c>
      <c r="E38" t="s">
        <v>7</v>
      </c>
    </row>
    <row r="39" spans="1:5" x14ac:dyDescent="0.25">
      <c r="A39" t="s">
        <v>44</v>
      </c>
      <c r="B39" s="3">
        <v>1</v>
      </c>
      <c r="C39" s="3">
        <v>1</v>
      </c>
      <c r="D39">
        <v>0</v>
      </c>
      <c r="E39" t="s">
        <v>7</v>
      </c>
    </row>
    <row r="40" spans="1:5" x14ac:dyDescent="0.25">
      <c r="A40" t="s">
        <v>45</v>
      </c>
      <c r="B40" s="3">
        <v>1</v>
      </c>
      <c r="C40" s="3">
        <v>1</v>
      </c>
      <c r="D40">
        <v>1</v>
      </c>
      <c r="E40" t="s">
        <v>7</v>
      </c>
    </row>
    <row r="41" spans="1:5" x14ac:dyDescent="0.25">
      <c r="A41" t="s">
        <v>46</v>
      </c>
      <c r="B41" s="3">
        <v>1</v>
      </c>
      <c r="C41" s="3">
        <v>1</v>
      </c>
      <c r="D41">
        <v>1</v>
      </c>
      <c r="E41" t="s">
        <v>6</v>
      </c>
    </row>
    <row r="42" spans="1:5" x14ac:dyDescent="0.25">
      <c r="A42" t="s">
        <v>47</v>
      </c>
      <c r="B42" s="3">
        <v>1</v>
      </c>
      <c r="C42" s="3">
        <v>1</v>
      </c>
      <c r="D42">
        <v>1</v>
      </c>
      <c r="E42" t="s">
        <v>6</v>
      </c>
    </row>
    <row r="43" spans="1:5" x14ac:dyDescent="0.25">
      <c r="A43" t="s">
        <v>48</v>
      </c>
      <c r="B43" s="3">
        <v>1</v>
      </c>
      <c r="C43" s="3">
        <v>1</v>
      </c>
      <c r="D43">
        <v>1</v>
      </c>
      <c r="E43" t="s">
        <v>6</v>
      </c>
    </row>
    <row r="44" spans="1:5" x14ac:dyDescent="0.25">
      <c r="A44" t="s">
        <v>49</v>
      </c>
      <c r="B44" s="3">
        <v>1</v>
      </c>
      <c r="C44" s="3">
        <v>1</v>
      </c>
      <c r="D44">
        <v>1</v>
      </c>
      <c r="E44" t="s">
        <v>6</v>
      </c>
    </row>
    <row r="45" spans="1:5" x14ac:dyDescent="0.25">
      <c r="A45" t="s">
        <v>50</v>
      </c>
      <c r="B45" s="3">
        <v>1</v>
      </c>
      <c r="C45" s="3">
        <v>1</v>
      </c>
      <c r="D45">
        <v>1</v>
      </c>
      <c r="E45" t="s">
        <v>6</v>
      </c>
    </row>
    <row r="46" spans="1:5" x14ac:dyDescent="0.25">
      <c r="A46" t="s">
        <v>51</v>
      </c>
      <c r="B46" s="3">
        <v>1</v>
      </c>
      <c r="C46" s="3">
        <v>1</v>
      </c>
      <c r="D46">
        <v>1</v>
      </c>
      <c r="E46" t="s">
        <v>6</v>
      </c>
    </row>
    <row r="47" spans="1:5" x14ac:dyDescent="0.25">
      <c r="A47" t="s">
        <v>52</v>
      </c>
      <c r="B47" s="3">
        <v>1</v>
      </c>
      <c r="C47" s="3">
        <v>0</v>
      </c>
      <c r="D47">
        <v>1</v>
      </c>
      <c r="E47" t="s">
        <v>6</v>
      </c>
    </row>
    <row r="48" spans="1:5" x14ac:dyDescent="0.25">
      <c r="A48" t="s">
        <v>53</v>
      </c>
      <c r="B48" s="3">
        <v>0</v>
      </c>
      <c r="C48" s="3">
        <v>1</v>
      </c>
      <c r="D48">
        <v>1</v>
      </c>
      <c r="E48" t="s">
        <v>6</v>
      </c>
    </row>
    <row r="49" spans="1:5" x14ac:dyDescent="0.25">
      <c r="A49" t="s">
        <v>54</v>
      </c>
      <c r="B49" s="3">
        <v>0</v>
      </c>
      <c r="C49" s="3">
        <v>0</v>
      </c>
      <c r="D49">
        <v>1</v>
      </c>
      <c r="E49" t="s">
        <v>6</v>
      </c>
    </row>
    <row r="50" spans="1:5" x14ac:dyDescent="0.25">
      <c r="A50" t="s">
        <v>55</v>
      </c>
      <c r="B50" s="3">
        <v>0</v>
      </c>
      <c r="C50" s="3">
        <v>1</v>
      </c>
      <c r="D50">
        <v>1</v>
      </c>
      <c r="E50" t="s">
        <v>6</v>
      </c>
    </row>
  </sheetData>
  <mergeCells count="1">
    <mergeCell ref="F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911F6-7478-4822-9133-21611F5DC7E1}">
  <dimension ref="A1:J51"/>
  <sheetViews>
    <sheetView zoomScaleNormal="100" workbookViewId="0">
      <selection activeCell="H25" sqref="H25"/>
    </sheetView>
  </sheetViews>
  <sheetFormatPr defaultRowHeight="15" x14ac:dyDescent="0.25"/>
  <cols>
    <col min="1" max="1" width="11.28515625" bestFit="1" customWidth="1"/>
    <col min="2" max="2" width="12.140625" bestFit="1" customWidth="1"/>
    <col min="3" max="3" width="17.7109375" bestFit="1" customWidth="1"/>
    <col min="4" max="4" width="9.42578125" bestFit="1" customWidth="1"/>
    <col min="5" max="5" width="14.5703125" bestFit="1" customWidth="1"/>
    <col min="6" max="6" width="23.5703125" bestFit="1" customWidth="1"/>
    <col min="7" max="7" width="17.28515625" bestFit="1" customWidth="1"/>
    <col min="8" max="8" width="8.7109375" bestFit="1" customWidth="1"/>
    <col min="9" max="9" width="12" bestFit="1" customWidth="1"/>
    <col min="10" max="10" width="15.140625" bestFit="1" customWidth="1"/>
  </cols>
  <sheetData>
    <row r="1" spans="1:10" x14ac:dyDescent="0.25">
      <c r="A1" t="s">
        <v>155</v>
      </c>
      <c r="B1" t="s">
        <v>156</v>
      </c>
      <c r="C1" t="s">
        <v>157</v>
      </c>
      <c r="D1" t="s">
        <v>158</v>
      </c>
      <c r="E1" t="s">
        <v>159</v>
      </c>
      <c r="F1" t="s">
        <v>160</v>
      </c>
      <c r="G1" t="s">
        <v>161</v>
      </c>
      <c r="H1" t="s">
        <v>162</v>
      </c>
      <c r="I1" t="s">
        <v>163</v>
      </c>
      <c r="J1" t="s">
        <v>274</v>
      </c>
    </row>
    <row r="2" spans="1:10" x14ac:dyDescent="0.25">
      <c r="A2">
        <v>1234</v>
      </c>
      <c r="B2" t="s">
        <v>224</v>
      </c>
      <c r="C2" t="s">
        <v>164</v>
      </c>
      <c r="D2" t="s">
        <v>221</v>
      </c>
      <c r="E2">
        <v>5646784</v>
      </c>
      <c r="F2" t="s">
        <v>126</v>
      </c>
      <c r="G2">
        <v>6</v>
      </c>
      <c r="H2">
        <v>4000</v>
      </c>
      <c r="I2">
        <f>H2*G2</f>
        <v>24000</v>
      </c>
      <c r="J2">
        <v>2</v>
      </c>
    </row>
    <row r="3" spans="1:10" x14ac:dyDescent="0.25">
      <c r="A3">
        <v>1235</v>
      </c>
      <c r="B3" t="s">
        <v>225</v>
      </c>
      <c r="C3" t="s">
        <v>165</v>
      </c>
      <c r="D3" t="s">
        <v>222</v>
      </c>
      <c r="E3">
        <v>4232323</v>
      </c>
      <c r="F3" t="s">
        <v>128</v>
      </c>
      <c r="G3">
        <v>4</v>
      </c>
      <c r="H3">
        <v>2500</v>
      </c>
      <c r="I3">
        <f t="shared" ref="I3:I51" si="0">H3*G3</f>
        <v>10000</v>
      </c>
      <c r="J3">
        <v>3</v>
      </c>
    </row>
    <row r="4" spans="1:10" x14ac:dyDescent="0.25">
      <c r="A4">
        <v>1236</v>
      </c>
      <c r="B4" t="s">
        <v>226</v>
      </c>
      <c r="C4" t="s">
        <v>166</v>
      </c>
      <c r="D4" t="s">
        <v>223</v>
      </c>
      <c r="E4">
        <v>7867463</v>
      </c>
      <c r="F4" t="s">
        <v>130</v>
      </c>
      <c r="G4">
        <v>10</v>
      </c>
      <c r="H4">
        <v>1200</v>
      </c>
      <c r="I4">
        <f t="shared" si="0"/>
        <v>12000</v>
      </c>
      <c r="J4">
        <v>1</v>
      </c>
    </row>
    <row r="5" spans="1:10" x14ac:dyDescent="0.25">
      <c r="A5">
        <v>1237</v>
      </c>
      <c r="B5" t="s">
        <v>227</v>
      </c>
      <c r="C5" t="s">
        <v>167</v>
      </c>
      <c r="D5" t="s">
        <v>223</v>
      </c>
      <c r="E5">
        <v>4786865</v>
      </c>
      <c r="F5" t="s">
        <v>132</v>
      </c>
      <c r="G5">
        <v>4</v>
      </c>
      <c r="H5">
        <v>2500</v>
      </c>
      <c r="I5">
        <f t="shared" si="0"/>
        <v>10000</v>
      </c>
      <c r="J5">
        <v>5</v>
      </c>
    </row>
    <row r="6" spans="1:10" x14ac:dyDescent="0.25">
      <c r="A6">
        <v>1238</v>
      </c>
      <c r="B6" t="s">
        <v>228</v>
      </c>
      <c r="C6" t="s">
        <v>168</v>
      </c>
      <c r="D6" t="s">
        <v>223</v>
      </c>
      <c r="E6">
        <v>3446478</v>
      </c>
      <c r="F6" t="s">
        <v>134</v>
      </c>
      <c r="G6">
        <v>5</v>
      </c>
      <c r="H6">
        <v>1700</v>
      </c>
      <c r="I6">
        <f t="shared" si="0"/>
        <v>8500</v>
      </c>
      <c r="J6">
        <v>7</v>
      </c>
    </row>
    <row r="7" spans="1:10" x14ac:dyDescent="0.25">
      <c r="A7">
        <v>1239</v>
      </c>
      <c r="B7" t="s">
        <v>229</v>
      </c>
      <c r="C7" t="s">
        <v>169</v>
      </c>
      <c r="D7" t="s">
        <v>223</v>
      </c>
      <c r="E7">
        <v>9423214</v>
      </c>
      <c r="F7" t="s">
        <v>136</v>
      </c>
      <c r="G7">
        <v>3</v>
      </c>
      <c r="H7">
        <v>4000</v>
      </c>
      <c r="I7">
        <f t="shared" si="0"/>
        <v>12000</v>
      </c>
      <c r="J7">
        <v>1</v>
      </c>
    </row>
    <row r="8" spans="1:10" x14ac:dyDescent="0.25">
      <c r="A8">
        <v>1240</v>
      </c>
      <c r="B8" t="s">
        <v>230</v>
      </c>
      <c r="C8" t="s">
        <v>170</v>
      </c>
      <c r="D8" t="s">
        <v>223</v>
      </c>
      <c r="E8">
        <v>3454646</v>
      </c>
      <c r="F8" t="s">
        <v>138</v>
      </c>
      <c r="G8">
        <v>2</v>
      </c>
      <c r="H8">
        <v>6000</v>
      </c>
      <c r="I8">
        <f t="shared" si="0"/>
        <v>12000</v>
      </c>
      <c r="J8">
        <v>8</v>
      </c>
    </row>
    <row r="9" spans="1:10" x14ac:dyDescent="0.25">
      <c r="A9">
        <v>1241</v>
      </c>
      <c r="B9" t="s">
        <v>231</v>
      </c>
      <c r="C9" t="s">
        <v>171</v>
      </c>
      <c r="D9" t="s">
        <v>223</v>
      </c>
      <c r="E9">
        <v>5645344</v>
      </c>
      <c r="F9" t="s">
        <v>140</v>
      </c>
      <c r="G9">
        <v>6</v>
      </c>
      <c r="H9">
        <v>3000</v>
      </c>
      <c r="I9">
        <f t="shared" si="0"/>
        <v>18000</v>
      </c>
      <c r="J9">
        <v>2</v>
      </c>
    </row>
    <row r="10" spans="1:10" x14ac:dyDescent="0.25">
      <c r="A10">
        <v>1242</v>
      </c>
      <c r="B10" t="s">
        <v>232</v>
      </c>
      <c r="C10" t="s">
        <v>172</v>
      </c>
      <c r="D10" t="s">
        <v>223</v>
      </c>
      <c r="E10">
        <v>8767564</v>
      </c>
      <c r="F10" t="s">
        <v>142</v>
      </c>
      <c r="G10">
        <v>1</v>
      </c>
      <c r="H10">
        <v>4000</v>
      </c>
      <c r="I10">
        <f t="shared" si="0"/>
        <v>4000</v>
      </c>
      <c r="J10">
        <v>3</v>
      </c>
    </row>
    <row r="11" spans="1:10" x14ac:dyDescent="0.25">
      <c r="A11">
        <v>1243</v>
      </c>
      <c r="B11" t="s">
        <v>233</v>
      </c>
      <c r="C11" t="s">
        <v>173</v>
      </c>
      <c r="D11" t="s">
        <v>223</v>
      </c>
      <c r="E11">
        <v>2335357</v>
      </c>
      <c r="F11" t="s">
        <v>144</v>
      </c>
      <c r="G11">
        <v>4</v>
      </c>
      <c r="H11">
        <v>6800</v>
      </c>
      <c r="I11">
        <f t="shared" si="0"/>
        <v>27200</v>
      </c>
      <c r="J11">
        <v>1</v>
      </c>
    </row>
    <row r="12" spans="1:10" x14ac:dyDescent="0.25">
      <c r="A12">
        <v>1244</v>
      </c>
      <c r="B12" t="s">
        <v>234</v>
      </c>
      <c r="C12" t="s">
        <v>174</v>
      </c>
      <c r="D12" t="s">
        <v>223</v>
      </c>
      <c r="E12">
        <v>5786756</v>
      </c>
      <c r="F12" t="s">
        <v>146</v>
      </c>
      <c r="G12">
        <v>6</v>
      </c>
      <c r="H12">
        <v>2500</v>
      </c>
      <c r="I12">
        <f t="shared" si="0"/>
        <v>15000</v>
      </c>
      <c r="J12">
        <v>5</v>
      </c>
    </row>
    <row r="13" spans="1:10" x14ac:dyDescent="0.25">
      <c r="A13">
        <v>1245</v>
      </c>
      <c r="B13" t="s">
        <v>235</v>
      </c>
      <c r="C13" t="s">
        <v>175</v>
      </c>
      <c r="D13" t="s">
        <v>223</v>
      </c>
      <c r="E13">
        <v>4545757</v>
      </c>
      <c r="F13" t="s">
        <v>148</v>
      </c>
      <c r="G13">
        <v>7</v>
      </c>
      <c r="H13">
        <v>1200</v>
      </c>
      <c r="I13">
        <f t="shared" si="0"/>
        <v>8400</v>
      </c>
      <c r="J13">
        <v>1</v>
      </c>
    </row>
    <row r="14" spans="1:10" x14ac:dyDescent="0.25">
      <c r="A14">
        <v>1246</v>
      </c>
      <c r="B14" t="s">
        <v>236</v>
      </c>
      <c r="C14" t="s">
        <v>176</v>
      </c>
      <c r="D14" t="s">
        <v>223</v>
      </c>
      <c r="E14">
        <v>4566342</v>
      </c>
      <c r="F14" t="s">
        <v>150</v>
      </c>
      <c r="G14">
        <v>4</v>
      </c>
      <c r="H14">
        <v>2500</v>
      </c>
      <c r="I14">
        <f t="shared" si="0"/>
        <v>10000</v>
      </c>
      <c r="J14">
        <v>1</v>
      </c>
    </row>
    <row r="15" spans="1:10" x14ac:dyDescent="0.25">
      <c r="A15">
        <v>1247</v>
      </c>
      <c r="B15" t="s">
        <v>237</v>
      </c>
      <c r="C15" t="s">
        <v>177</v>
      </c>
      <c r="D15" t="s">
        <v>223</v>
      </c>
      <c r="E15">
        <v>7568756</v>
      </c>
      <c r="F15" t="s">
        <v>152</v>
      </c>
      <c r="G15">
        <v>1</v>
      </c>
      <c r="H15">
        <v>1700</v>
      </c>
      <c r="I15">
        <f t="shared" si="0"/>
        <v>1700</v>
      </c>
      <c r="J15">
        <v>2</v>
      </c>
    </row>
    <row r="16" spans="1:10" x14ac:dyDescent="0.25">
      <c r="A16">
        <v>1248</v>
      </c>
      <c r="B16" t="s">
        <v>238</v>
      </c>
      <c r="C16" t="s">
        <v>178</v>
      </c>
      <c r="D16" t="s">
        <v>223</v>
      </c>
      <c r="E16">
        <v>6534344</v>
      </c>
      <c r="F16" t="s">
        <v>154</v>
      </c>
      <c r="G16">
        <v>2</v>
      </c>
      <c r="H16">
        <v>1700</v>
      </c>
      <c r="I16">
        <f t="shared" si="0"/>
        <v>3400</v>
      </c>
      <c r="J16">
        <v>4</v>
      </c>
    </row>
    <row r="17" spans="1:10" x14ac:dyDescent="0.25">
      <c r="A17">
        <v>1249</v>
      </c>
      <c r="B17" t="s">
        <v>239</v>
      </c>
      <c r="C17" t="s">
        <v>179</v>
      </c>
      <c r="D17" t="s">
        <v>222</v>
      </c>
      <c r="E17">
        <v>9786754</v>
      </c>
      <c r="F17" t="s">
        <v>104</v>
      </c>
      <c r="G17">
        <v>2</v>
      </c>
      <c r="H17">
        <v>4000</v>
      </c>
      <c r="I17">
        <f t="shared" si="0"/>
        <v>8000</v>
      </c>
      <c r="J17">
        <v>8</v>
      </c>
    </row>
    <row r="18" spans="1:10" x14ac:dyDescent="0.25">
      <c r="A18">
        <v>1250</v>
      </c>
      <c r="B18" t="s">
        <v>240</v>
      </c>
      <c r="C18" t="s">
        <v>180</v>
      </c>
      <c r="D18" t="s">
        <v>222</v>
      </c>
      <c r="E18">
        <v>5786756</v>
      </c>
      <c r="F18" t="s">
        <v>106</v>
      </c>
      <c r="G18">
        <v>1</v>
      </c>
      <c r="H18">
        <v>300</v>
      </c>
      <c r="I18">
        <f t="shared" si="0"/>
        <v>300</v>
      </c>
      <c r="J18">
        <v>2</v>
      </c>
    </row>
    <row r="19" spans="1:10" x14ac:dyDescent="0.25">
      <c r="A19">
        <v>1251</v>
      </c>
      <c r="B19" t="s">
        <v>241</v>
      </c>
      <c r="C19" t="s">
        <v>181</v>
      </c>
      <c r="D19" t="s">
        <v>222</v>
      </c>
      <c r="E19">
        <v>2586855</v>
      </c>
      <c r="F19" t="s">
        <v>108</v>
      </c>
      <c r="G19">
        <v>8</v>
      </c>
      <c r="H19">
        <v>1000</v>
      </c>
      <c r="I19">
        <f t="shared" si="0"/>
        <v>8000</v>
      </c>
      <c r="J19">
        <v>6</v>
      </c>
    </row>
    <row r="20" spans="1:10" x14ac:dyDescent="0.25">
      <c r="A20">
        <v>1252</v>
      </c>
      <c r="B20" t="s">
        <v>242</v>
      </c>
      <c r="C20" t="s">
        <v>182</v>
      </c>
      <c r="D20" t="s">
        <v>222</v>
      </c>
      <c r="E20">
        <v>6866767</v>
      </c>
      <c r="F20" t="s">
        <v>110</v>
      </c>
      <c r="G20">
        <v>4</v>
      </c>
      <c r="H20">
        <v>2000</v>
      </c>
      <c r="I20">
        <f t="shared" si="0"/>
        <v>8000</v>
      </c>
      <c r="J20">
        <v>3</v>
      </c>
    </row>
    <row r="21" spans="1:10" x14ac:dyDescent="0.25">
      <c r="A21">
        <v>1253</v>
      </c>
      <c r="B21" t="s">
        <v>243</v>
      </c>
      <c r="C21" t="s">
        <v>183</v>
      </c>
      <c r="D21" t="s">
        <v>222</v>
      </c>
      <c r="E21">
        <v>7686453</v>
      </c>
      <c r="F21" t="s">
        <v>112</v>
      </c>
      <c r="G21">
        <v>6</v>
      </c>
      <c r="H21">
        <v>1000</v>
      </c>
      <c r="I21">
        <f t="shared" si="0"/>
        <v>6000</v>
      </c>
      <c r="J21">
        <v>2</v>
      </c>
    </row>
    <row r="22" spans="1:10" x14ac:dyDescent="0.25">
      <c r="A22">
        <v>1254</v>
      </c>
      <c r="B22" t="s">
        <v>244</v>
      </c>
      <c r="C22" t="s">
        <v>184</v>
      </c>
      <c r="D22" t="s">
        <v>222</v>
      </c>
      <c r="E22">
        <v>5799078</v>
      </c>
      <c r="F22" t="s">
        <v>114</v>
      </c>
      <c r="G22">
        <v>3</v>
      </c>
      <c r="H22">
        <v>2000</v>
      </c>
      <c r="I22">
        <f t="shared" si="0"/>
        <v>6000</v>
      </c>
      <c r="J22">
        <v>2</v>
      </c>
    </row>
    <row r="23" spans="1:10" x14ac:dyDescent="0.25">
      <c r="A23">
        <v>1255</v>
      </c>
      <c r="B23" t="s">
        <v>245</v>
      </c>
      <c r="C23" t="s">
        <v>185</v>
      </c>
      <c r="D23" t="s">
        <v>222</v>
      </c>
      <c r="E23">
        <v>1797565</v>
      </c>
      <c r="F23" t="s">
        <v>116</v>
      </c>
      <c r="G23">
        <v>2</v>
      </c>
      <c r="H23">
        <v>1700</v>
      </c>
      <c r="I23">
        <f t="shared" si="0"/>
        <v>3400</v>
      </c>
      <c r="J23">
        <v>1</v>
      </c>
    </row>
    <row r="24" spans="1:10" x14ac:dyDescent="0.25">
      <c r="A24">
        <v>1256</v>
      </c>
      <c r="B24" t="s">
        <v>246</v>
      </c>
      <c r="C24" t="s">
        <v>186</v>
      </c>
      <c r="D24" t="s">
        <v>222</v>
      </c>
      <c r="E24">
        <v>1324535</v>
      </c>
      <c r="F24" t="s">
        <v>118</v>
      </c>
      <c r="G24">
        <v>1</v>
      </c>
      <c r="H24">
        <v>3000</v>
      </c>
      <c r="I24">
        <f t="shared" si="0"/>
        <v>3000</v>
      </c>
      <c r="J24">
        <v>6</v>
      </c>
    </row>
    <row r="25" spans="1:10" x14ac:dyDescent="0.25">
      <c r="A25">
        <v>1257</v>
      </c>
      <c r="B25" t="s">
        <v>247</v>
      </c>
      <c r="C25" t="s">
        <v>187</v>
      </c>
      <c r="D25" t="s">
        <v>222</v>
      </c>
      <c r="E25">
        <v>6476342</v>
      </c>
      <c r="F25" t="s">
        <v>120</v>
      </c>
      <c r="G25">
        <v>7</v>
      </c>
      <c r="H25">
        <v>8000</v>
      </c>
      <c r="I25">
        <f t="shared" si="0"/>
        <v>56000</v>
      </c>
      <c r="J25">
        <v>5</v>
      </c>
    </row>
    <row r="26" spans="1:10" x14ac:dyDescent="0.25">
      <c r="A26">
        <v>1258</v>
      </c>
      <c r="B26" t="s">
        <v>248</v>
      </c>
      <c r="C26" t="s">
        <v>188</v>
      </c>
      <c r="D26" t="s">
        <v>222</v>
      </c>
      <c r="E26">
        <v>1089877</v>
      </c>
      <c r="F26" t="s">
        <v>122</v>
      </c>
      <c r="G26">
        <v>4</v>
      </c>
      <c r="H26">
        <v>3000</v>
      </c>
      <c r="I26">
        <f t="shared" si="0"/>
        <v>12000</v>
      </c>
      <c r="J26">
        <v>7</v>
      </c>
    </row>
    <row r="27" spans="1:10" x14ac:dyDescent="0.25">
      <c r="A27">
        <v>1259</v>
      </c>
      <c r="B27" t="s">
        <v>249</v>
      </c>
      <c r="C27" t="s">
        <v>189</v>
      </c>
      <c r="D27" t="s">
        <v>222</v>
      </c>
      <c r="E27">
        <v>4224577</v>
      </c>
      <c r="F27" t="s">
        <v>124</v>
      </c>
      <c r="G27">
        <v>6</v>
      </c>
      <c r="H27">
        <v>4000</v>
      </c>
      <c r="I27">
        <f t="shared" si="0"/>
        <v>24000</v>
      </c>
      <c r="J27">
        <v>2</v>
      </c>
    </row>
    <row r="28" spans="1:10" x14ac:dyDescent="0.25">
      <c r="A28">
        <v>1260</v>
      </c>
      <c r="B28" t="s">
        <v>250</v>
      </c>
      <c r="C28" t="s">
        <v>190</v>
      </c>
      <c r="D28" t="s">
        <v>222</v>
      </c>
      <c r="E28">
        <v>3657658</v>
      </c>
      <c r="F28" t="s">
        <v>69</v>
      </c>
      <c r="G28">
        <v>3</v>
      </c>
      <c r="H28">
        <v>3000</v>
      </c>
      <c r="I28">
        <f t="shared" si="0"/>
        <v>9000</v>
      </c>
      <c r="J28">
        <v>4</v>
      </c>
    </row>
    <row r="29" spans="1:10" x14ac:dyDescent="0.25">
      <c r="A29">
        <v>1261</v>
      </c>
      <c r="B29" t="s">
        <v>251</v>
      </c>
      <c r="C29" t="s">
        <v>191</v>
      </c>
      <c r="D29" t="s">
        <v>222</v>
      </c>
      <c r="E29">
        <v>7364364</v>
      </c>
      <c r="F29" t="s">
        <v>71</v>
      </c>
      <c r="G29">
        <v>1</v>
      </c>
      <c r="H29">
        <v>6000</v>
      </c>
      <c r="I29">
        <f t="shared" si="0"/>
        <v>6000</v>
      </c>
      <c r="J29">
        <v>2</v>
      </c>
    </row>
    <row r="30" spans="1:10" x14ac:dyDescent="0.25">
      <c r="A30">
        <v>1262</v>
      </c>
      <c r="B30" t="s">
        <v>252</v>
      </c>
      <c r="C30" t="s">
        <v>192</v>
      </c>
      <c r="D30" t="s">
        <v>222</v>
      </c>
      <c r="E30">
        <v>4565634</v>
      </c>
      <c r="F30" t="s">
        <v>73</v>
      </c>
      <c r="G30">
        <v>2</v>
      </c>
      <c r="H30">
        <v>3000</v>
      </c>
      <c r="I30">
        <f t="shared" si="0"/>
        <v>6000</v>
      </c>
      <c r="J30">
        <v>1</v>
      </c>
    </row>
    <row r="31" spans="1:10" x14ac:dyDescent="0.25">
      <c r="A31">
        <v>1263</v>
      </c>
      <c r="B31" t="s">
        <v>253</v>
      </c>
      <c r="C31" t="s">
        <v>193</v>
      </c>
      <c r="D31" t="s">
        <v>222</v>
      </c>
      <c r="E31">
        <v>9068577</v>
      </c>
      <c r="F31" t="s">
        <v>75</v>
      </c>
      <c r="G31">
        <v>3</v>
      </c>
      <c r="H31">
        <v>4000</v>
      </c>
      <c r="I31">
        <f t="shared" si="0"/>
        <v>12000</v>
      </c>
      <c r="J31">
        <v>1</v>
      </c>
    </row>
    <row r="32" spans="1:10" x14ac:dyDescent="0.25">
      <c r="A32">
        <v>1264</v>
      </c>
      <c r="B32" t="s">
        <v>254</v>
      </c>
      <c r="C32" t="s">
        <v>194</v>
      </c>
      <c r="D32" t="s">
        <v>222</v>
      </c>
      <c r="E32">
        <v>5423231</v>
      </c>
      <c r="F32" t="s">
        <v>77</v>
      </c>
      <c r="G32">
        <v>5</v>
      </c>
      <c r="H32">
        <v>2000</v>
      </c>
      <c r="I32">
        <f t="shared" si="0"/>
        <v>10000</v>
      </c>
      <c r="J32">
        <v>5</v>
      </c>
    </row>
    <row r="33" spans="1:10" x14ac:dyDescent="0.25">
      <c r="A33">
        <v>1265</v>
      </c>
      <c r="B33" t="s">
        <v>255</v>
      </c>
      <c r="C33" t="s">
        <v>195</v>
      </c>
      <c r="D33" t="s">
        <v>222</v>
      </c>
      <c r="E33">
        <v>1244665</v>
      </c>
      <c r="F33" t="s">
        <v>79</v>
      </c>
      <c r="G33">
        <v>6</v>
      </c>
      <c r="H33">
        <v>2500</v>
      </c>
      <c r="I33">
        <f t="shared" si="0"/>
        <v>15000</v>
      </c>
      <c r="J33">
        <v>1</v>
      </c>
    </row>
    <row r="34" spans="1:10" x14ac:dyDescent="0.25">
      <c r="A34">
        <v>1266</v>
      </c>
      <c r="B34" t="s">
        <v>256</v>
      </c>
      <c r="C34" t="s">
        <v>196</v>
      </c>
      <c r="D34" t="s">
        <v>222</v>
      </c>
      <c r="E34">
        <v>8564534</v>
      </c>
      <c r="F34" t="s">
        <v>81</v>
      </c>
      <c r="G34">
        <v>4</v>
      </c>
      <c r="H34">
        <v>1200</v>
      </c>
      <c r="I34">
        <f t="shared" si="0"/>
        <v>4800</v>
      </c>
      <c r="J34">
        <v>1</v>
      </c>
    </row>
    <row r="35" spans="1:10" x14ac:dyDescent="0.25">
      <c r="A35">
        <v>1267</v>
      </c>
      <c r="B35" t="s">
        <v>257</v>
      </c>
      <c r="C35" t="s">
        <v>197</v>
      </c>
      <c r="D35" t="s">
        <v>222</v>
      </c>
      <c r="E35">
        <v>3656453</v>
      </c>
      <c r="F35" t="s">
        <v>83</v>
      </c>
      <c r="G35">
        <v>1</v>
      </c>
      <c r="H35">
        <v>2500</v>
      </c>
      <c r="I35">
        <f t="shared" si="0"/>
        <v>2500</v>
      </c>
      <c r="J35">
        <v>1</v>
      </c>
    </row>
    <row r="36" spans="1:10" x14ac:dyDescent="0.25">
      <c r="A36">
        <v>1268</v>
      </c>
      <c r="B36" t="s">
        <v>258</v>
      </c>
      <c r="C36" t="s">
        <v>198</v>
      </c>
      <c r="D36" t="s">
        <v>221</v>
      </c>
      <c r="E36">
        <v>6467567</v>
      </c>
      <c r="F36" t="s">
        <v>85</v>
      </c>
      <c r="G36">
        <v>2</v>
      </c>
      <c r="H36">
        <v>1700</v>
      </c>
      <c r="I36">
        <f t="shared" si="0"/>
        <v>3400</v>
      </c>
      <c r="J36">
        <v>3</v>
      </c>
    </row>
    <row r="37" spans="1:10" x14ac:dyDescent="0.25">
      <c r="A37">
        <v>1269</v>
      </c>
      <c r="B37" t="s">
        <v>259</v>
      </c>
      <c r="C37" t="s">
        <v>199</v>
      </c>
      <c r="D37" t="s">
        <v>221</v>
      </c>
      <c r="E37">
        <v>7867564</v>
      </c>
      <c r="F37" t="s">
        <v>87</v>
      </c>
      <c r="G37">
        <v>3</v>
      </c>
      <c r="H37">
        <v>4000</v>
      </c>
      <c r="I37">
        <f t="shared" si="0"/>
        <v>12000</v>
      </c>
      <c r="J37">
        <v>1</v>
      </c>
    </row>
    <row r="38" spans="1:10" x14ac:dyDescent="0.25">
      <c r="A38">
        <v>1270</v>
      </c>
      <c r="B38" t="s">
        <v>260</v>
      </c>
      <c r="C38" t="s">
        <v>200</v>
      </c>
      <c r="D38" t="s">
        <v>221</v>
      </c>
      <c r="E38">
        <v>5434234</v>
      </c>
      <c r="F38" t="s">
        <v>89</v>
      </c>
      <c r="G38">
        <v>1</v>
      </c>
      <c r="H38">
        <v>9000</v>
      </c>
      <c r="I38">
        <f t="shared" si="0"/>
        <v>9000</v>
      </c>
      <c r="J38">
        <v>1</v>
      </c>
    </row>
    <row r="39" spans="1:10" x14ac:dyDescent="0.25">
      <c r="A39">
        <v>1271</v>
      </c>
      <c r="B39" t="s">
        <v>261</v>
      </c>
      <c r="C39" t="s">
        <v>201</v>
      </c>
      <c r="D39" t="s">
        <v>221</v>
      </c>
      <c r="E39">
        <v>9787688</v>
      </c>
      <c r="F39" t="s">
        <v>91</v>
      </c>
      <c r="G39">
        <v>2</v>
      </c>
      <c r="H39">
        <v>3000</v>
      </c>
      <c r="I39">
        <f t="shared" si="0"/>
        <v>6000</v>
      </c>
      <c r="J39">
        <v>1</v>
      </c>
    </row>
    <row r="40" spans="1:10" x14ac:dyDescent="0.25">
      <c r="A40">
        <v>1272</v>
      </c>
      <c r="B40" t="s">
        <v>262</v>
      </c>
      <c r="C40" t="s">
        <v>202</v>
      </c>
      <c r="D40" t="s">
        <v>221</v>
      </c>
      <c r="E40">
        <v>8674645</v>
      </c>
      <c r="F40" t="s">
        <v>93</v>
      </c>
      <c r="G40">
        <v>2</v>
      </c>
      <c r="H40">
        <v>6000</v>
      </c>
      <c r="I40">
        <f t="shared" si="0"/>
        <v>12000</v>
      </c>
      <c r="J40">
        <v>4</v>
      </c>
    </row>
    <row r="41" spans="1:10" x14ac:dyDescent="0.25">
      <c r="A41">
        <v>1273</v>
      </c>
      <c r="B41" t="s">
        <v>263</v>
      </c>
      <c r="C41" t="s">
        <v>203</v>
      </c>
      <c r="D41" t="s">
        <v>221</v>
      </c>
      <c r="E41">
        <v>5454673</v>
      </c>
      <c r="F41" t="s">
        <v>95</v>
      </c>
      <c r="G41">
        <v>3</v>
      </c>
      <c r="H41">
        <v>3000</v>
      </c>
      <c r="I41">
        <f t="shared" si="0"/>
        <v>9000</v>
      </c>
      <c r="J41">
        <v>6</v>
      </c>
    </row>
    <row r="42" spans="1:10" x14ac:dyDescent="0.25">
      <c r="A42">
        <v>1274</v>
      </c>
      <c r="B42" t="s">
        <v>264</v>
      </c>
      <c r="C42" t="s">
        <v>204</v>
      </c>
      <c r="D42" t="s">
        <v>221</v>
      </c>
      <c r="E42">
        <v>8483949</v>
      </c>
      <c r="F42" t="s">
        <v>97</v>
      </c>
      <c r="G42">
        <v>2</v>
      </c>
      <c r="H42">
        <v>4000</v>
      </c>
      <c r="I42">
        <f t="shared" si="0"/>
        <v>8000</v>
      </c>
      <c r="J42">
        <v>9</v>
      </c>
    </row>
    <row r="43" spans="1:10" x14ac:dyDescent="0.25">
      <c r="A43">
        <v>1275</v>
      </c>
      <c r="B43" t="s">
        <v>265</v>
      </c>
      <c r="C43" t="s">
        <v>205</v>
      </c>
      <c r="D43" t="s">
        <v>221</v>
      </c>
      <c r="E43">
        <v>6456576</v>
      </c>
      <c r="F43" t="s">
        <v>98</v>
      </c>
      <c r="G43">
        <v>2</v>
      </c>
      <c r="H43">
        <v>2000</v>
      </c>
      <c r="I43">
        <f t="shared" si="0"/>
        <v>4000</v>
      </c>
      <c r="J43">
        <v>1</v>
      </c>
    </row>
    <row r="44" spans="1:10" x14ac:dyDescent="0.25">
      <c r="A44">
        <v>1276</v>
      </c>
      <c r="B44" t="s">
        <v>266</v>
      </c>
      <c r="C44" t="s">
        <v>206</v>
      </c>
      <c r="D44" t="s">
        <v>221</v>
      </c>
      <c r="E44">
        <v>3232434</v>
      </c>
      <c r="F44" t="s">
        <v>99</v>
      </c>
      <c r="G44">
        <v>1</v>
      </c>
      <c r="H44">
        <v>2500</v>
      </c>
      <c r="I44">
        <f t="shared" si="0"/>
        <v>2500</v>
      </c>
      <c r="J44">
        <v>2</v>
      </c>
    </row>
    <row r="45" spans="1:10" x14ac:dyDescent="0.25">
      <c r="A45">
        <v>1277</v>
      </c>
      <c r="B45" t="s">
        <v>267</v>
      </c>
      <c r="C45" t="s">
        <v>207</v>
      </c>
      <c r="D45" t="s">
        <v>221</v>
      </c>
      <c r="E45">
        <v>1099744</v>
      </c>
      <c r="F45" t="s">
        <v>100</v>
      </c>
      <c r="G45">
        <v>7</v>
      </c>
      <c r="H45">
        <v>1200</v>
      </c>
      <c r="I45">
        <f t="shared" si="0"/>
        <v>8400</v>
      </c>
      <c r="J45">
        <v>6</v>
      </c>
    </row>
    <row r="46" spans="1:10" x14ac:dyDescent="0.25">
      <c r="A46">
        <v>1278</v>
      </c>
      <c r="B46" t="s">
        <v>268</v>
      </c>
      <c r="C46" t="s">
        <v>208</v>
      </c>
      <c r="D46" t="s">
        <v>221</v>
      </c>
      <c r="E46">
        <v>7479839</v>
      </c>
      <c r="F46" t="s">
        <v>101</v>
      </c>
      <c r="G46">
        <v>2</v>
      </c>
      <c r="H46">
        <v>2500</v>
      </c>
      <c r="I46">
        <f t="shared" si="0"/>
        <v>5000</v>
      </c>
      <c r="J46">
        <v>7</v>
      </c>
    </row>
    <row r="47" spans="1:10" x14ac:dyDescent="0.25">
      <c r="A47">
        <v>1279</v>
      </c>
      <c r="B47" t="s">
        <v>269</v>
      </c>
      <c r="C47" t="s">
        <v>209</v>
      </c>
      <c r="D47" t="s">
        <v>221</v>
      </c>
      <c r="E47">
        <v>9837774</v>
      </c>
      <c r="F47" t="s">
        <v>102</v>
      </c>
      <c r="G47">
        <v>1</v>
      </c>
      <c r="H47">
        <v>1700</v>
      </c>
      <c r="I47">
        <f t="shared" si="0"/>
        <v>1700</v>
      </c>
      <c r="J47">
        <v>5</v>
      </c>
    </row>
    <row r="48" spans="1:10" x14ac:dyDescent="0.25">
      <c r="A48">
        <v>1280</v>
      </c>
      <c r="B48" t="s">
        <v>270</v>
      </c>
      <c r="C48" t="s">
        <v>210</v>
      </c>
      <c r="D48" t="s">
        <v>221</v>
      </c>
      <c r="E48">
        <v>2323224</v>
      </c>
      <c r="F48" t="s">
        <v>62</v>
      </c>
      <c r="G48">
        <v>8</v>
      </c>
      <c r="H48">
        <v>1000</v>
      </c>
      <c r="I48">
        <f t="shared" si="0"/>
        <v>8000</v>
      </c>
      <c r="J48">
        <v>3</v>
      </c>
    </row>
    <row r="49" spans="1:10" x14ac:dyDescent="0.25">
      <c r="A49">
        <v>1281</v>
      </c>
      <c r="B49" t="s">
        <v>271</v>
      </c>
      <c r="C49" t="s">
        <v>211</v>
      </c>
      <c r="D49" t="s">
        <v>221</v>
      </c>
      <c r="E49">
        <v>4654434</v>
      </c>
      <c r="F49" t="s">
        <v>64</v>
      </c>
      <c r="G49">
        <v>4</v>
      </c>
      <c r="H49">
        <v>2000</v>
      </c>
      <c r="I49">
        <f t="shared" si="0"/>
        <v>8000</v>
      </c>
      <c r="J49">
        <v>4</v>
      </c>
    </row>
    <row r="50" spans="1:10" x14ac:dyDescent="0.25">
      <c r="A50">
        <v>1282</v>
      </c>
      <c r="B50" t="s">
        <v>272</v>
      </c>
      <c r="C50" t="s">
        <v>212</v>
      </c>
      <c r="D50" t="s">
        <v>221</v>
      </c>
      <c r="E50">
        <v>6545434</v>
      </c>
      <c r="F50" t="s">
        <v>66</v>
      </c>
      <c r="G50">
        <v>1</v>
      </c>
      <c r="H50" s="2">
        <v>50000</v>
      </c>
      <c r="I50">
        <f t="shared" si="0"/>
        <v>50000</v>
      </c>
      <c r="J50">
        <v>2</v>
      </c>
    </row>
    <row r="51" spans="1:10" x14ac:dyDescent="0.25">
      <c r="A51">
        <v>1283</v>
      </c>
      <c r="B51" t="s">
        <v>273</v>
      </c>
      <c r="C51" t="s">
        <v>213</v>
      </c>
      <c r="D51" t="s">
        <v>221</v>
      </c>
      <c r="E51">
        <v>3565675</v>
      </c>
      <c r="F51" t="s">
        <v>66</v>
      </c>
      <c r="G51">
        <v>2</v>
      </c>
      <c r="H51" s="2">
        <v>70000</v>
      </c>
      <c r="I51">
        <f t="shared" si="0"/>
        <v>140000</v>
      </c>
      <c r="J5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DC5F8-9381-41D1-AA51-429DD7AB74B4}">
  <dimension ref="A1:F48"/>
  <sheetViews>
    <sheetView zoomScale="115" zoomScaleNormal="115" workbookViewId="0"/>
  </sheetViews>
  <sheetFormatPr defaultRowHeight="15" x14ac:dyDescent="0.25"/>
  <cols>
    <col min="1" max="1" width="4.7109375" bestFit="1" customWidth="1"/>
    <col min="2" max="2" width="13.28515625" bestFit="1" customWidth="1"/>
    <col min="3" max="3" width="23.5703125" bestFit="1" customWidth="1"/>
    <col min="4" max="4" width="12.7109375" bestFit="1" customWidth="1"/>
    <col min="5" max="5" width="12.28515625" bestFit="1" customWidth="1"/>
  </cols>
  <sheetData>
    <row r="1" spans="1:6" x14ac:dyDescent="0.2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335</v>
      </c>
    </row>
    <row r="2" spans="1:6" x14ac:dyDescent="0.25">
      <c r="A2">
        <v>1</v>
      </c>
      <c r="B2" t="s">
        <v>61</v>
      </c>
      <c r="C2" t="s">
        <v>286</v>
      </c>
      <c r="D2">
        <v>120</v>
      </c>
      <c r="E2">
        <v>50</v>
      </c>
      <c r="F2" s="6">
        <v>100</v>
      </c>
    </row>
    <row r="3" spans="1:6" x14ac:dyDescent="0.25">
      <c r="A3">
        <v>2</v>
      </c>
      <c r="B3" t="s">
        <v>63</v>
      </c>
      <c r="C3" t="s">
        <v>287</v>
      </c>
      <c r="D3">
        <v>100</v>
      </c>
      <c r="E3">
        <v>40</v>
      </c>
      <c r="F3" s="7">
        <v>150</v>
      </c>
    </row>
    <row r="4" spans="1:6" x14ac:dyDescent="0.25">
      <c r="A4">
        <v>3</v>
      </c>
      <c r="B4" t="s">
        <v>65</v>
      </c>
      <c r="C4" t="s">
        <v>288</v>
      </c>
      <c r="D4">
        <v>50</v>
      </c>
      <c r="E4">
        <v>30</v>
      </c>
      <c r="F4" s="7">
        <v>150</v>
      </c>
    </row>
    <row r="5" spans="1:6" x14ac:dyDescent="0.25">
      <c r="A5">
        <v>4</v>
      </c>
      <c r="B5" t="s">
        <v>67</v>
      </c>
      <c r="C5" t="s">
        <v>289</v>
      </c>
      <c r="D5">
        <v>50</v>
      </c>
      <c r="E5">
        <v>30</v>
      </c>
      <c r="F5" s="7">
        <v>100</v>
      </c>
    </row>
    <row r="6" spans="1:6" x14ac:dyDescent="0.25">
      <c r="A6">
        <v>5</v>
      </c>
      <c r="B6" t="s">
        <v>68</v>
      </c>
      <c r="C6" t="s">
        <v>290</v>
      </c>
      <c r="D6">
        <v>300</v>
      </c>
      <c r="E6">
        <v>100</v>
      </c>
      <c r="F6" s="7">
        <v>50</v>
      </c>
    </row>
    <row r="7" spans="1:6" x14ac:dyDescent="0.25">
      <c r="A7">
        <v>6</v>
      </c>
      <c r="B7" t="s">
        <v>70</v>
      </c>
      <c r="C7" t="s">
        <v>291</v>
      </c>
      <c r="D7">
        <v>500</v>
      </c>
      <c r="E7">
        <v>200</v>
      </c>
      <c r="F7" s="7">
        <v>100</v>
      </c>
    </row>
    <row r="8" spans="1:6" x14ac:dyDescent="0.25">
      <c r="A8">
        <v>7</v>
      </c>
      <c r="B8" t="s">
        <v>72</v>
      </c>
      <c r="C8" t="s">
        <v>292</v>
      </c>
      <c r="D8">
        <v>400</v>
      </c>
      <c r="E8">
        <v>100</v>
      </c>
      <c r="F8" s="7">
        <v>80</v>
      </c>
    </row>
    <row r="9" spans="1:6" x14ac:dyDescent="0.25">
      <c r="A9">
        <v>8</v>
      </c>
      <c r="B9" t="s">
        <v>74</v>
      </c>
      <c r="C9" t="s">
        <v>293</v>
      </c>
      <c r="D9">
        <v>400</v>
      </c>
      <c r="E9">
        <v>100</v>
      </c>
      <c r="F9" s="7">
        <v>200</v>
      </c>
    </row>
    <row r="10" spans="1:6" x14ac:dyDescent="0.25">
      <c r="A10">
        <v>9</v>
      </c>
      <c r="B10" t="s">
        <v>76</v>
      </c>
      <c r="C10" t="s">
        <v>294</v>
      </c>
      <c r="D10">
        <v>500</v>
      </c>
      <c r="E10">
        <v>100</v>
      </c>
      <c r="F10" s="7">
        <v>180</v>
      </c>
    </row>
    <row r="11" spans="1:6" x14ac:dyDescent="0.25">
      <c r="A11">
        <v>10</v>
      </c>
      <c r="B11" t="s">
        <v>78</v>
      </c>
      <c r="C11" t="s">
        <v>295</v>
      </c>
      <c r="D11">
        <v>700</v>
      </c>
      <c r="E11">
        <v>300</v>
      </c>
      <c r="F11" s="7">
        <v>250</v>
      </c>
    </row>
    <row r="12" spans="1:6" x14ac:dyDescent="0.25">
      <c r="A12">
        <v>11</v>
      </c>
      <c r="B12" t="s">
        <v>80</v>
      </c>
      <c r="C12" t="s">
        <v>296</v>
      </c>
      <c r="D12">
        <v>400</v>
      </c>
      <c r="E12">
        <v>200</v>
      </c>
      <c r="F12" s="7">
        <v>130</v>
      </c>
    </row>
    <row r="13" spans="1:6" x14ac:dyDescent="0.25">
      <c r="A13">
        <v>12</v>
      </c>
      <c r="B13" t="s">
        <v>82</v>
      </c>
      <c r="C13" t="s">
        <v>297</v>
      </c>
      <c r="D13">
        <v>300</v>
      </c>
      <c r="E13">
        <v>100</v>
      </c>
      <c r="F13" s="7">
        <v>1200</v>
      </c>
    </row>
    <row r="14" spans="1:6" x14ac:dyDescent="0.25">
      <c r="A14">
        <v>13</v>
      </c>
      <c r="B14" t="s">
        <v>84</v>
      </c>
      <c r="C14" t="s">
        <v>298</v>
      </c>
      <c r="D14">
        <v>300</v>
      </c>
      <c r="E14">
        <v>100</v>
      </c>
      <c r="F14" s="7">
        <v>1000</v>
      </c>
    </row>
    <row r="15" spans="1:6" x14ac:dyDescent="0.25">
      <c r="A15">
        <v>14</v>
      </c>
      <c r="B15" t="s">
        <v>86</v>
      </c>
      <c r="C15" t="s">
        <v>299</v>
      </c>
      <c r="D15">
        <v>300</v>
      </c>
      <c r="E15">
        <v>100</v>
      </c>
      <c r="F15" s="7">
        <v>700</v>
      </c>
    </row>
    <row r="16" spans="1:6" x14ac:dyDescent="0.25">
      <c r="A16">
        <v>15</v>
      </c>
      <c r="B16" t="s">
        <v>88</v>
      </c>
      <c r="C16" t="s">
        <v>300</v>
      </c>
      <c r="D16">
        <v>200</v>
      </c>
      <c r="E16">
        <v>50</v>
      </c>
      <c r="F16" s="7">
        <v>200</v>
      </c>
    </row>
    <row r="17" spans="1:6" x14ac:dyDescent="0.25">
      <c r="A17">
        <v>16</v>
      </c>
      <c r="B17" t="s">
        <v>90</v>
      </c>
      <c r="C17" t="s">
        <v>301</v>
      </c>
      <c r="D17">
        <v>400</v>
      </c>
      <c r="E17">
        <v>250</v>
      </c>
      <c r="F17" s="7">
        <v>200</v>
      </c>
    </row>
    <row r="18" spans="1:6" x14ac:dyDescent="0.25">
      <c r="A18">
        <v>17</v>
      </c>
      <c r="B18" t="s">
        <v>92</v>
      </c>
      <c r="C18" t="s">
        <v>336</v>
      </c>
      <c r="D18">
        <v>500</v>
      </c>
      <c r="E18">
        <v>250</v>
      </c>
      <c r="F18" s="7">
        <v>80</v>
      </c>
    </row>
    <row r="19" spans="1:6" x14ac:dyDescent="0.25">
      <c r="A19">
        <v>18</v>
      </c>
      <c r="B19" t="s">
        <v>94</v>
      </c>
      <c r="C19" t="s">
        <v>303</v>
      </c>
      <c r="D19">
        <v>200</v>
      </c>
      <c r="E19">
        <v>100</v>
      </c>
      <c r="F19" s="7">
        <v>120</v>
      </c>
    </row>
    <row r="20" spans="1:6" x14ac:dyDescent="0.25">
      <c r="A20">
        <v>19</v>
      </c>
      <c r="B20" t="s">
        <v>96</v>
      </c>
      <c r="C20" t="s">
        <v>304</v>
      </c>
      <c r="D20">
        <v>250</v>
      </c>
      <c r="E20">
        <v>100</v>
      </c>
      <c r="F20" s="7">
        <v>300</v>
      </c>
    </row>
    <row r="21" spans="1:6" x14ac:dyDescent="0.25">
      <c r="A21">
        <v>20</v>
      </c>
      <c r="B21" t="s">
        <v>103</v>
      </c>
      <c r="C21" t="s">
        <v>305</v>
      </c>
      <c r="D21">
        <v>300</v>
      </c>
      <c r="E21">
        <v>300</v>
      </c>
      <c r="F21" s="7">
        <v>25000</v>
      </c>
    </row>
    <row r="22" spans="1:6" x14ac:dyDescent="0.25">
      <c r="A22">
        <v>21</v>
      </c>
      <c r="B22" t="s">
        <v>105</v>
      </c>
      <c r="C22" t="s">
        <v>306</v>
      </c>
      <c r="D22">
        <v>120</v>
      </c>
      <c r="E22">
        <v>200</v>
      </c>
      <c r="F22" s="7">
        <v>20000</v>
      </c>
    </row>
    <row r="23" spans="1:6" x14ac:dyDescent="0.25">
      <c r="A23">
        <v>22</v>
      </c>
      <c r="B23" t="s">
        <v>107</v>
      </c>
      <c r="C23" t="s">
        <v>307</v>
      </c>
      <c r="D23">
        <v>100</v>
      </c>
      <c r="E23">
        <v>100</v>
      </c>
      <c r="F23" s="7">
        <v>14000</v>
      </c>
    </row>
    <row r="24" spans="1:6" x14ac:dyDescent="0.25">
      <c r="A24">
        <v>23</v>
      </c>
      <c r="B24" t="s">
        <v>109</v>
      </c>
      <c r="C24" t="s">
        <v>308</v>
      </c>
      <c r="D24">
        <v>250</v>
      </c>
      <c r="E24">
        <v>100</v>
      </c>
      <c r="F24" s="7">
        <v>50000</v>
      </c>
    </row>
    <row r="25" spans="1:6" x14ac:dyDescent="0.25">
      <c r="A25">
        <v>24</v>
      </c>
      <c r="B25" t="s">
        <v>111</v>
      </c>
      <c r="C25" t="s">
        <v>309</v>
      </c>
      <c r="D25">
        <v>250</v>
      </c>
      <c r="E25">
        <v>100</v>
      </c>
      <c r="F25" s="7">
        <v>8000</v>
      </c>
    </row>
    <row r="26" spans="1:6" x14ac:dyDescent="0.25">
      <c r="A26">
        <v>25</v>
      </c>
      <c r="B26" t="s">
        <v>113</v>
      </c>
      <c r="C26" t="s">
        <v>311</v>
      </c>
      <c r="D26">
        <v>400</v>
      </c>
      <c r="E26">
        <v>250</v>
      </c>
      <c r="F26" s="7">
        <v>45000</v>
      </c>
    </row>
    <row r="27" spans="1:6" x14ac:dyDescent="0.25">
      <c r="A27">
        <v>26</v>
      </c>
      <c r="B27" t="s">
        <v>115</v>
      </c>
      <c r="C27" t="s">
        <v>310</v>
      </c>
      <c r="D27">
        <v>400</v>
      </c>
      <c r="E27">
        <v>240</v>
      </c>
      <c r="F27" s="7">
        <v>6000</v>
      </c>
    </row>
    <row r="28" spans="1:6" x14ac:dyDescent="0.25">
      <c r="A28">
        <v>27</v>
      </c>
      <c r="B28" t="s">
        <v>117</v>
      </c>
      <c r="C28" t="s">
        <v>312</v>
      </c>
      <c r="D28">
        <v>500</v>
      </c>
      <c r="E28">
        <v>300</v>
      </c>
      <c r="F28" s="7">
        <v>30000</v>
      </c>
    </row>
    <row r="29" spans="1:6" x14ac:dyDescent="0.25">
      <c r="A29">
        <v>28</v>
      </c>
      <c r="B29" t="s">
        <v>119</v>
      </c>
      <c r="C29" t="s">
        <v>313</v>
      </c>
      <c r="D29">
        <v>700</v>
      </c>
      <c r="E29">
        <v>500</v>
      </c>
      <c r="F29" s="7">
        <v>10000</v>
      </c>
    </row>
    <row r="30" spans="1:6" x14ac:dyDescent="0.25">
      <c r="A30">
        <v>29</v>
      </c>
      <c r="B30" t="s">
        <v>121</v>
      </c>
      <c r="C30" t="s">
        <v>314</v>
      </c>
      <c r="D30">
        <v>400</v>
      </c>
      <c r="E30">
        <v>200</v>
      </c>
      <c r="F30" s="7">
        <v>20000</v>
      </c>
    </row>
    <row r="31" spans="1:6" x14ac:dyDescent="0.25">
      <c r="A31">
        <v>30</v>
      </c>
      <c r="B31" t="s">
        <v>123</v>
      </c>
      <c r="C31" t="s">
        <v>315</v>
      </c>
      <c r="D31">
        <v>300</v>
      </c>
      <c r="E31">
        <v>100</v>
      </c>
      <c r="F31" s="7">
        <v>5000</v>
      </c>
    </row>
    <row r="32" spans="1:6" x14ac:dyDescent="0.25">
      <c r="A32">
        <v>31</v>
      </c>
      <c r="B32" t="s">
        <v>125</v>
      </c>
      <c r="C32" t="s">
        <v>316</v>
      </c>
      <c r="D32">
        <v>100</v>
      </c>
      <c r="E32">
        <v>200</v>
      </c>
      <c r="F32" s="7">
        <v>3000</v>
      </c>
    </row>
    <row r="33" spans="1:6" x14ac:dyDescent="0.25">
      <c r="A33">
        <v>32</v>
      </c>
      <c r="B33" t="s">
        <v>127</v>
      </c>
      <c r="C33" t="s">
        <v>317</v>
      </c>
      <c r="D33">
        <v>500</v>
      </c>
      <c r="E33">
        <v>100</v>
      </c>
      <c r="F33" s="7">
        <v>500</v>
      </c>
    </row>
    <row r="34" spans="1:6" x14ac:dyDescent="0.25">
      <c r="A34">
        <v>33</v>
      </c>
      <c r="B34" t="s">
        <v>129</v>
      </c>
      <c r="C34" t="s">
        <v>318</v>
      </c>
      <c r="D34">
        <v>200</v>
      </c>
      <c r="E34">
        <v>100</v>
      </c>
      <c r="F34" s="7">
        <v>300</v>
      </c>
    </row>
    <row r="35" spans="1:6" x14ac:dyDescent="0.25">
      <c r="A35">
        <v>34</v>
      </c>
      <c r="B35" t="s">
        <v>131</v>
      </c>
      <c r="C35" t="s">
        <v>319</v>
      </c>
      <c r="D35">
        <v>400</v>
      </c>
      <c r="E35">
        <v>100</v>
      </c>
      <c r="F35" s="7">
        <v>18000</v>
      </c>
    </row>
    <row r="36" spans="1:6" x14ac:dyDescent="0.25">
      <c r="A36">
        <v>35</v>
      </c>
      <c r="B36" t="s">
        <v>133</v>
      </c>
      <c r="C36" t="s">
        <v>320</v>
      </c>
      <c r="D36">
        <v>120</v>
      </c>
      <c r="E36">
        <v>300</v>
      </c>
      <c r="F36" s="7">
        <v>11000</v>
      </c>
    </row>
    <row r="37" spans="1:6" x14ac:dyDescent="0.25">
      <c r="A37">
        <v>36</v>
      </c>
      <c r="B37" t="s">
        <v>135</v>
      </c>
      <c r="C37" t="s">
        <v>321</v>
      </c>
      <c r="D37">
        <v>100</v>
      </c>
      <c r="E37">
        <v>200</v>
      </c>
      <c r="F37" s="7">
        <v>2500</v>
      </c>
    </row>
    <row r="38" spans="1:6" x14ac:dyDescent="0.25">
      <c r="A38">
        <v>37</v>
      </c>
      <c r="B38" t="s">
        <v>137</v>
      </c>
      <c r="C38" t="s">
        <v>322</v>
      </c>
      <c r="D38">
        <v>100</v>
      </c>
      <c r="E38">
        <v>100</v>
      </c>
      <c r="F38" s="7">
        <v>500</v>
      </c>
    </row>
    <row r="39" spans="1:6" x14ac:dyDescent="0.25">
      <c r="A39">
        <v>38</v>
      </c>
      <c r="B39" t="s">
        <v>139</v>
      </c>
      <c r="C39" t="s">
        <v>323</v>
      </c>
      <c r="D39">
        <v>150</v>
      </c>
      <c r="E39">
        <v>100</v>
      </c>
      <c r="F39" s="7">
        <v>100</v>
      </c>
    </row>
    <row r="40" spans="1:6" x14ac:dyDescent="0.25">
      <c r="A40">
        <v>39</v>
      </c>
      <c r="B40" t="s">
        <v>141</v>
      </c>
      <c r="C40" t="s">
        <v>324</v>
      </c>
      <c r="D40">
        <v>300</v>
      </c>
      <c r="E40">
        <v>100</v>
      </c>
      <c r="F40" s="7">
        <v>400</v>
      </c>
    </row>
    <row r="41" spans="1:6" x14ac:dyDescent="0.25">
      <c r="A41">
        <v>40</v>
      </c>
      <c r="B41" t="s">
        <v>143</v>
      </c>
      <c r="C41" t="s">
        <v>325</v>
      </c>
      <c r="D41">
        <v>500</v>
      </c>
      <c r="E41">
        <v>200</v>
      </c>
      <c r="F41" s="7">
        <v>500</v>
      </c>
    </row>
    <row r="42" spans="1:6" x14ac:dyDescent="0.25">
      <c r="A42">
        <v>41</v>
      </c>
      <c r="B42" t="s">
        <v>145</v>
      </c>
      <c r="C42" t="s">
        <v>326</v>
      </c>
      <c r="D42">
        <v>400</v>
      </c>
      <c r="E42">
        <v>200</v>
      </c>
      <c r="F42" s="7">
        <v>400</v>
      </c>
    </row>
    <row r="43" spans="1:6" x14ac:dyDescent="0.25">
      <c r="A43">
        <v>42</v>
      </c>
      <c r="B43" t="s">
        <v>147</v>
      </c>
      <c r="C43" t="s">
        <v>327</v>
      </c>
      <c r="D43">
        <v>500</v>
      </c>
      <c r="E43">
        <v>300</v>
      </c>
      <c r="F43" s="7">
        <v>400</v>
      </c>
    </row>
    <row r="44" spans="1:6" x14ac:dyDescent="0.25">
      <c r="A44">
        <v>43</v>
      </c>
      <c r="B44" t="s">
        <v>149</v>
      </c>
      <c r="C44" t="s">
        <v>328</v>
      </c>
      <c r="D44">
        <v>400</v>
      </c>
      <c r="E44">
        <v>200</v>
      </c>
      <c r="F44" s="7">
        <v>300</v>
      </c>
    </row>
    <row r="45" spans="1:6" x14ac:dyDescent="0.25">
      <c r="A45">
        <v>44</v>
      </c>
      <c r="B45" t="s">
        <v>151</v>
      </c>
      <c r="C45" t="s">
        <v>329</v>
      </c>
      <c r="D45">
        <v>400</v>
      </c>
      <c r="E45">
        <v>250</v>
      </c>
      <c r="F45" s="7">
        <v>400</v>
      </c>
    </row>
    <row r="46" spans="1:6" x14ac:dyDescent="0.25">
      <c r="A46">
        <v>45</v>
      </c>
      <c r="B46" t="s">
        <v>153</v>
      </c>
      <c r="C46" t="s">
        <v>330</v>
      </c>
      <c r="D46">
        <v>500</v>
      </c>
      <c r="E46">
        <v>200</v>
      </c>
      <c r="F46" s="7">
        <v>600</v>
      </c>
    </row>
    <row r="47" spans="1:6" x14ac:dyDescent="0.25">
      <c r="A47">
        <v>46</v>
      </c>
      <c r="B47" t="s">
        <v>333</v>
      </c>
      <c r="C47" t="s">
        <v>331</v>
      </c>
      <c r="D47">
        <v>400</v>
      </c>
      <c r="E47">
        <v>200</v>
      </c>
      <c r="F47" s="7">
        <v>300</v>
      </c>
    </row>
    <row r="48" spans="1:6" x14ac:dyDescent="0.25">
      <c r="A48">
        <v>47</v>
      </c>
      <c r="B48" t="s">
        <v>334</v>
      </c>
      <c r="C48" t="s">
        <v>332</v>
      </c>
      <c r="D48">
        <v>400</v>
      </c>
      <c r="E48">
        <v>200</v>
      </c>
      <c r="F48" s="7">
        <v>200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D819C-EB71-446E-AB20-657D1E442758}">
  <dimension ref="A1:L51"/>
  <sheetViews>
    <sheetView workbookViewId="0">
      <selection activeCell="F29" sqref="F29"/>
    </sheetView>
  </sheetViews>
  <sheetFormatPr defaultRowHeight="15" x14ac:dyDescent="0.25"/>
  <cols>
    <col min="1" max="1" width="9.42578125" bestFit="1" customWidth="1"/>
    <col min="2" max="2" width="11.28515625" bestFit="1" customWidth="1"/>
    <col min="3" max="3" width="23.5703125" bestFit="1" customWidth="1"/>
    <col min="5" max="5" width="8" bestFit="1" customWidth="1"/>
    <col min="6" max="6" width="12.28515625" bestFit="1" customWidth="1"/>
    <col min="8" max="8" width="6.7109375" bestFit="1" customWidth="1"/>
    <col min="9" max="9" width="9.85546875" bestFit="1" customWidth="1"/>
    <col min="10" max="10" width="9.5703125" bestFit="1" customWidth="1"/>
    <col min="12" max="12" width="17.85546875" customWidth="1"/>
  </cols>
  <sheetData>
    <row r="1" spans="1:12" x14ac:dyDescent="0.25">
      <c r="A1" t="s">
        <v>217</v>
      </c>
      <c r="B1" t="s">
        <v>283</v>
      </c>
      <c r="C1" t="s">
        <v>58</v>
      </c>
      <c r="D1" t="s">
        <v>218</v>
      </c>
      <c r="E1" t="s">
        <v>219</v>
      </c>
      <c r="F1" t="s">
        <v>220</v>
      </c>
      <c r="I1" t="s">
        <v>216</v>
      </c>
      <c r="J1" t="s">
        <v>279</v>
      </c>
    </row>
    <row r="2" spans="1:12" x14ac:dyDescent="0.25">
      <c r="A2" t="s">
        <v>221</v>
      </c>
      <c r="B2" s="8" t="s">
        <v>275</v>
      </c>
      <c r="C2" t="s">
        <v>302</v>
      </c>
      <c r="D2">
        <v>80</v>
      </c>
      <c r="E2">
        <v>10</v>
      </c>
      <c r="F2">
        <v>800</v>
      </c>
      <c r="L2" s="11"/>
    </row>
    <row r="3" spans="1:12" x14ac:dyDescent="0.25">
      <c r="A3" t="s">
        <v>221</v>
      </c>
      <c r="B3" s="8" t="s">
        <v>275</v>
      </c>
      <c r="C3" t="s">
        <v>337</v>
      </c>
      <c r="D3">
        <v>200</v>
      </c>
      <c r="E3">
        <v>6</v>
      </c>
      <c r="F3">
        <f t="shared" ref="F3:F19" si="0">D3*E3</f>
        <v>1200</v>
      </c>
    </row>
    <row r="4" spans="1:12" x14ac:dyDescent="0.25">
      <c r="A4" t="s">
        <v>221</v>
      </c>
      <c r="B4" s="8" t="s">
        <v>275</v>
      </c>
      <c r="C4" t="s">
        <v>309</v>
      </c>
      <c r="D4">
        <v>8000</v>
      </c>
      <c r="E4">
        <v>3</v>
      </c>
      <c r="F4">
        <f t="shared" si="0"/>
        <v>24000</v>
      </c>
    </row>
    <row r="5" spans="1:12" x14ac:dyDescent="0.25">
      <c r="A5" t="s">
        <v>221</v>
      </c>
      <c r="B5" s="8" t="s">
        <v>275</v>
      </c>
      <c r="C5" t="s">
        <v>300</v>
      </c>
      <c r="D5">
        <v>200</v>
      </c>
      <c r="E5">
        <v>10</v>
      </c>
      <c r="F5">
        <f t="shared" si="0"/>
        <v>2000</v>
      </c>
    </row>
    <row r="6" spans="1:12" x14ac:dyDescent="0.25">
      <c r="A6" t="s">
        <v>221</v>
      </c>
      <c r="B6" s="8" t="s">
        <v>275</v>
      </c>
      <c r="C6" t="s">
        <v>332</v>
      </c>
      <c r="D6">
        <v>200</v>
      </c>
      <c r="E6">
        <v>45</v>
      </c>
      <c r="F6">
        <f t="shared" si="0"/>
        <v>9000</v>
      </c>
    </row>
    <row r="7" spans="1:12" x14ac:dyDescent="0.25">
      <c r="A7" t="s">
        <v>221</v>
      </c>
      <c r="B7" s="8" t="s">
        <v>275</v>
      </c>
      <c r="C7" t="s">
        <v>338</v>
      </c>
      <c r="D7">
        <v>300</v>
      </c>
      <c r="E7">
        <v>15</v>
      </c>
      <c r="F7">
        <f t="shared" si="0"/>
        <v>4500</v>
      </c>
    </row>
    <row r="8" spans="1:12" x14ac:dyDescent="0.25">
      <c r="A8" t="s">
        <v>221</v>
      </c>
      <c r="B8" s="8" t="s">
        <v>275</v>
      </c>
      <c r="C8" t="s">
        <v>315</v>
      </c>
      <c r="D8">
        <v>5000</v>
      </c>
      <c r="E8">
        <v>2</v>
      </c>
      <c r="F8">
        <f t="shared" si="0"/>
        <v>10000</v>
      </c>
    </row>
    <row r="9" spans="1:12" x14ac:dyDescent="0.25">
      <c r="A9" t="s">
        <v>221</v>
      </c>
      <c r="B9" s="8" t="s">
        <v>275</v>
      </c>
      <c r="C9" t="s">
        <v>323</v>
      </c>
      <c r="D9">
        <v>100</v>
      </c>
      <c r="E9">
        <v>40</v>
      </c>
      <c r="F9">
        <f t="shared" si="0"/>
        <v>4000</v>
      </c>
      <c r="I9" s="8" t="s">
        <v>221</v>
      </c>
      <c r="J9" s="11">
        <f>SUM(F2:F18)</f>
        <v>1103650</v>
      </c>
    </row>
    <row r="10" spans="1:12" x14ac:dyDescent="0.25">
      <c r="A10" t="s">
        <v>221</v>
      </c>
      <c r="B10" s="8" t="s">
        <v>275</v>
      </c>
      <c r="C10" t="s">
        <v>322</v>
      </c>
      <c r="D10">
        <v>500</v>
      </c>
      <c r="E10">
        <v>20</v>
      </c>
      <c r="F10">
        <f t="shared" si="0"/>
        <v>10000</v>
      </c>
    </row>
    <row r="11" spans="1:12" x14ac:dyDescent="0.25">
      <c r="A11" t="s">
        <v>221</v>
      </c>
      <c r="B11" s="8" t="s">
        <v>275</v>
      </c>
      <c r="C11" t="s">
        <v>325</v>
      </c>
      <c r="D11">
        <v>500</v>
      </c>
      <c r="E11">
        <v>10</v>
      </c>
      <c r="F11">
        <f t="shared" si="0"/>
        <v>5000</v>
      </c>
      <c r="I11" s="10" t="s">
        <v>223</v>
      </c>
      <c r="J11" s="11">
        <f>SUM(F19:F31)</f>
        <v>907150</v>
      </c>
    </row>
    <row r="12" spans="1:12" x14ac:dyDescent="0.25">
      <c r="A12" t="s">
        <v>221</v>
      </c>
      <c r="B12" s="8" t="s">
        <v>275</v>
      </c>
      <c r="C12" t="s">
        <v>340</v>
      </c>
      <c r="D12">
        <v>50000</v>
      </c>
      <c r="E12">
        <v>5</v>
      </c>
      <c r="F12">
        <f t="shared" si="0"/>
        <v>250000</v>
      </c>
    </row>
    <row r="13" spans="1:12" x14ac:dyDescent="0.25">
      <c r="A13" t="s">
        <v>221</v>
      </c>
      <c r="B13" s="8" t="s">
        <v>275</v>
      </c>
      <c r="C13" t="s">
        <v>341</v>
      </c>
      <c r="D13">
        <v>700</v>
      </c>
      <c r="E13">
        <v>20</v>
      </c>
      <c r="F13">
        <f t="shared" si="0"/>
        <v>14000</v>
      </c>
      <c r="I13" s="9" t="s">
        <v>278</v>
      </c>
      <c r="J13" s="11">
        <f>SUM(F32:F51)</f>
        <v>1248600</v>
      </c>
    </row>
    <row r="14" spans="1:12" x14ac:dyDescent="0.25">
      <c r="A14" t="s">
        <v>221</v>
      </c>
      <c r="B14" s="8" t="s">
        <v>275</v>
      </c>
      <c r="C14" t="s">
        <v>342</v>
      </c>
      <c r="D14">
        <v>25000</v>
      </c>
      <c r="E14">
        <v>18</v>
      </c>
      <c r="F14">
        <f t="shared" si="0"/>
        <v>450000</v>
      </c>
    </row>
    <row r="15" spans="1:12" x14ac:dyDescent="0.25">
      <c r="A15" t="s">
        <v>221</v>
      </c>
      <c r="B15" s="8" t="s">
        <v>275</v>
      </c>
      <c r="C15" t="s">
        <v>343</v>
      </c>
      <c r="D15">
        <v>14000</v>
      </c>
      <c r="E15">
        <v>2</v>
      </c>
      <c r="F15">
        <f t="shared" si="0"/>
        <v>28000</v>
      </c>
    </row>
    <row r="16" spans="1:12" x14ac:dyDescent="0.25">
      <c r="A16" t="s">
        <v>221</v>
      </c>
      <c r="B16" s="8" t="s">
        <v>275</v>
      </c>
      <c r="C16" t="s">
        <v>344</v>
      </c>
      <c r="D16">
        <v>30000</v>
      </c>
      <c r="E16">
        <v>9</v>
      </c>
      <c r="F16">
        <f t="shared" si="0"/>
        <v>270000</v>
      </c>
    </row>
    <row r="17" spans="1:12" x14ac:dyDescent="0.25">
      <c r="A17" t="s">
        <v>221</v>
      </c>
      <c r="B17" s="8" t="s">
        <v>275</v>
      </c>
      <c r="C17" t="s">
        <v>345</v>
      </c>
      <c r="D17" s="2">
        <v>250</v>
      </c>
      <c r="E17">
        <v>30</v>
      </c>
      <c r="F17">
        <f t="shared" si="0"/>
        <v>7500</v>
      </c>
    </row>
    <row r="18" spans="1:12" x14ac:dyDescent="0.25">
      <c r="A18" t="s">
        <v>221</v>
      </c>
      <c r="B18" s="8" t="s">
        <v>275</v>
      </c>
      <c r="C18" t="s">
        <v>346</v>
      </c>
      <c r="D18" s="2">
        <v>130</v>
      </c>
      <c r="E18">
        <v>105</v>
      </c>
      <c r="F18">
        <f t="shared" si="0"/>
        <v>13650</v>
      </c>
    </row>
    <row r="19" spans="1:12" x14ac:dyDescent="0.25">
      <c r="A19" t="s">
        <v>223</v>
      </c>
      <c r="B19" s="10" t="s">
        <v>276</v>
      </c>
      <c r="C19" t="s">
        <v>302</v>
      </c>
      <c r="D19">
        <v>80</v>
      </c>
      <c r="E19">
        <v>10</v>
      </c>
      <c r="F19">
        <f t="shared" si="0"/>
        <v>800</v>
      </c>
    </row>
    <row r="20" spans="1:12" x14ac:dyDescent="0.25">
      <c r="A20" t="s">
        <v>223</v>
      </c>
      <c r="B20" s="10" t="s">
        <v>276</v>
      </c>
      <c r="C20" t="s">
        <v>346</v>
      </c>
      <c r="D20" s="2">
        <v>130</v>
      </c>
      <c r="E20">
        <v>200</v>
      </c>
      <c r="F20">
        <f t="shared" ref="F20:F51" si="1">D20*E20</f>
        <v>26000</v>
      </c>
    </row>
    <row r="21" spans="1:12" x14ac:dyDescent="0.25">
      <c r="A21" t="s">
        <v>223</v>
      </c>
      <c r="B21" s="10" t="s">
        <v>276</v>
      </c>
      <c r="C21" t="s">
        <v>345</v>
      </c>
      <c r="D21" s="2">
        <v>250</v>
      </c>
      <c r="E21">
        <v>50</v>
      </c>
      <c r="F21">
        <f t="shared" si="1"/>
        <v>12500</v>
      </c>
      <c r="L21" s="11"/>
    </row>
    <row r="22" spans="1:12" x14ac:dyDescent="0.25">
      <c r="A22" t="s">
        <v>223</v>
      </c>
      <c r="B22" s="10" t="s">
        <v>276</v>
      </c>
      <c r="C22" t="s">
        <v>342</v>
      </c>
      <c r="D22">
        <v>25000</v>
      </c>
      <c r="E22">
        <v>9</v>
      </c>
      <c r="F22">
        <f t="shared" si="1"/>
        <v>225000</v>
      </c>
    </row>
    <row r="23" spans="1:12" x14ac:dyDescent="0.25">
      <c r="A23" t="s">
        <v>223</v>
      </c>
      <c r="B23" s="10" t="s">
        <v>276</v>
      </c>
      <c r="C23" t="s">
        <v>323</v>
      </c>
      <c r="D23">
        <v>100</v>
      </c>
      <c r="E23">
        <v>11</v>
      </c>
      <c r="F23">
        <f t="shared" si="1"/>
        <v>1100</v>
      </c>
    </row>
    <row r="24" spans="1:12" x14ac:dyDescent="0.25">
      <c r="A24" t="s">
        <v>223</v>
      </c>
      <c r="B24" s="10" t="s">
        <v>276</v>
      </c>
      <c r="C24" t="s">
        <v>322</v>
      </c>
      <c r="D24">
        <v>500</v>
      </c>
      <c r="E24">
        <v>25</v>
      </c>
      <c r="F24">
        <f t="shared" si="1"/>
        <v>12500</v>
      </c>
    </row>
    <row r="25" spans="1:12" x14ac:dyDescent="0.25">
      <c r="A25" t="s">
        <v>223</v>
      </c>
      <c r="B25" s="10" t="s">
        <v>276</v>
      </c>
      <c r="C25" t="s">
        <v>325</v>
      </c>
      <c r="D25">
        <v>500</v>
      </c>
      <c r="E25">
        <v>8</v>
      </c>
      <c r="F25">
        <f t="shared" si="1"/>
        <v>4000</v>
      </c>
    </row>
    <row r="26" spans="1:12" x14ac:dyDescent="0.25">
      <c r="A26" t="s">
        <v>223</v>
      </c>
      <c r="B26" s="10" t="s">
        <v>276</v>
      </c>
      <c r="C26" t="s">
        <v>332</v>
      </c>
      <c r="D26">
        <v>200</v>
      </c>
      <c r="E26">
        <v>55</v>
      </c>
      <c r="F26">
        <f t="shared" si="1"/>
        <v>11000</v>
      </c>
    </row>
    <row r="27" spans="1:12" x14ac:dyDescent="0.25">
      <c r="A27" t="s">
        <v>223</v>
      </c>
      <c r="B27" s="10" t="s">
        <v>276</v>
      </c>
      <c r="C27" t="s">
        <v>338</v>
      </c>
      <c r="D27">
        <v>450</v>
      </c>
      <c r="E27">
        <v>25</v>
      </c>
      <c r="F27">
        <f t="shared" si="1"/>
        <v>11250</v>
      </c>
    </row>
    <row r="28" spans="1:12" x14ac:dyDescent="0.25">
      <c r="A28" t="s">
        <v>223</v>
      </c>
      <c r="B28" s="10" t="s">
        <v>276</v>
      </c>
      <c r="C28" t="s">
        <v>313</v>
      </c>
      <c r="D28">
        <v>10000</v>
      </c>
      <c r="E28">
        <v>16</v>
      </c>
      <c r="F28">
        <f t="shared" si="1"/>
        <v>160000</v>
      </c>
    </row>
    <row r="29" spans="1:12" x14ac:dyDescent="0.25">
      <c r="A29" t="s">
        <v>223</v>
      </c>
      <c r="B29" s="10" t="s">
        <v>276</v>
      </c>
      <c r="C29" t="s">
        <v>314</v>
      </c>
      <c r="D29">
        <v>20000</v>
      </c>
      <c r="E29">
        <v>13</v>
      </c>
      <c r="F29">
        <f t="shared" si="1"/>
        <v>260000</v>
      </c>
    </row>
    <row r="30" spans="1:12" x14ac:dyDescent="0.25">
      <c r="A30" t="s">
        <v>223</v>
      </c>
      <c r="B30" s="10" t="s">
        <v>276</v>
      </c>
      <c r="C30" t="s">
        <v>311</v>
      </c>
      <c r="D30">
        <v>45000</v>
      </c>
      <c r="E30">
        <v>4</v>
      </c>
      <c r="F30">
        <f t="shared" si="1"/>
        <v>180000</v>
      </c>
    </row>
    <row r="31" spans="1:12" x14ac:dyDescent="0.25">
      <c r="A31" t="s">
        <v>223</v>
      </c>
      <c r="B31" s="10" t="s">
        <v>276</v>
      </c>
      <c r="C31" t="s">
        <v>318</v>
      </c>
      <c r="D31">
        <v>300</v>
      </c>
      <c r="E31">
        <v>10</v>
      </c>
      <c r="F31">
        <f t="shared" si="1"/>
        <v>3000</v>
      </c>
    </row>
    <row r="32" spans="1:12" x14ac:dyDescent="0.25">
      <c r="A32" t="s">
        <v>222</v>
      </c>
      <c r="B32" s="9" t="s">
        <v>277</v>
      </c>
      <c r="C32" t="s">
        <v>302</v>
      </c>
      <c r="D32">
        <v>80</v>
      </c>
      <c r="E32">
        <v>10</v>
      </c>
      <c r="F32">
        <f t="shared" si="1"/>
        <v>800</v>
      </c>
    </row>
    <row r="33" spans="1:6" x14ac:dyDescent="0.25">
      <c r="A33" t="s">
        <v>222</v>
      </c>
      <c r="B33" s="9" t="s">
        <v>277</v>
      </c>
      <c r="C33" t="s">
        <v>346</v>
      </c>
      <c r="D33" s="2">
        <v>130</v>
      </c>
      <c r="E33">
        <v>200</v>
      </c>
      <c r="F33">
        <f t="shared" si="1"/>
        <v>26000</v>
      </c>
    </row>
    <row r="34" spans="1:6" x14ac:dyDescent="0.25">
      <c r="A34" t="s">
        <v>222</v>
      </c>
      <c r="B34" s="9" t="s">
        <v>277</v>
      </c>
      <c r="C34" t="s">
        <v>345</v>
      </c>
      <c r="D34" s="2">
        <v>250</v>
      </c>
      <c r="E34">
        <v>50</v>
      </c>
      <c r="F34">
        <f t="shared" si="1"/>
        <v>12500</v>
      </c>
    </row>
    <row r="35" spans="1:6" x14ac:dyDescent="0.25">
      <c r="A35" t="s">
        <v>222</v>
      </c>
      <c r="B35" s="9" t="s">
        <v>277</v>
      </c>
      <c r="C35" t="s">
        <v>323</v>
      </c>
      <c r="D35">
        <v>100</v>
      </c>
      <c r="E35">
        <v>65</v>
      </c>
      <c r="F35">
        <f t="shared" si="1"/>
        <v>6500</v>
      </c>
    </row>
    <row r="36" spans="1:6" x14ac:dyDescent="0.25">
      <c r="A36" t="s">
        <v>222</v>
      </c>
      <c r="B36" s="9" t="s">
        <v>277</v>
      </c>
      <c r="C36" t="s">
        <v>322</v>
      </c>
      <c r="D36">
        <v>500</v>
      </c>
      <c r="E36">
        <v>25</v>
      </c>
      <c r="F36">
        <f t="shared" si="1"/>
        <v>12500</v>
      </c>
    </row>
    <row r="37" spans="1:6" x14ac:dyDescent="0.25">
      <c r="A37" t="s">
        <v>222</v>
      </c>
      <c r="B37" s="9" t="s">
        <v>277</v>
      </c>
      <c r="C37" t="s">
        <v>311</v>
      </c>
      <c r="D37">
        <v>45000</v>
      </c>
      <c r="E37">
        <v>4</v>
      </c>
      <c r="F37">
        <f t="shared" si="1"/>
        <v>180000</v>
      </c>
    </row>
    <row r="38" spans="1:6" x14ac:dyDescent="0.25">
      <c r="A38" t="s">
        <v>222</v>
      </c>
      <c r="B38" s="9" t="s">
        <v>277</v>
      </c>
      <c r="C38" t="s">
        <v>313</v>
      </c>
      <c r="D38">
        <v>10000</v>
      </c>
      <c r="E38">
        <v>18</v>
      </c>
      <c r="F38">
        <f t="shared" si="1"/>
        <v>180000</v>
      </c>
    </row>
    <row r="39" spans="1:6" x14ac:dyDescent="0.25">
      <c r="A39" t="s">
        <v>222</v>
      </c>
      <c r="B39" s="9" t="s">
        <v>277</v>
      </c>
      <c r="C39" t="s">
        <v>314</v>
      </c>
      <c r="D39">
        <v>20000</v>
      </c>
      <c r="E39">
        <v>24</v>
      </c>
      <c r="F39">
        <f t="shared" si="1"/>
        <v>480000</v>
      </c>
    </row>
    <row r="40" spans="1:6" x14ac:dyDescent="0.25">
      <c r="A40" t="s">
        <v>222</v>
      </c>
      <c r="B40" s="9" t="s">
        <v>277</v>
      </c>
      <c r="C40" t="s">
        <v>347</v>
      </c>
      <c r="D40">
        <v>25000</v>
      </c>
      <c r="E40">
        <v>1</v>
      </c>
      <c r="F40">
        <f t="shared" si="1"/>
        <v>25000</v>
      </c>
    </row>
    <row r="41" spans="1:6" x14ac:dyDescent="0.25">
      <c r="A41" t="s">
        <v>222</v>
      </c>
      <c r="B41" s="9" t="s">
        <v>277</v>
      </c>
      <c r="C41" t="s">
        <v>342</v>
      </c>
      <c r="D41">
        <v>20000</v>
      </c>
      <c r="E41">
        <v>11</v>
      </c>
      <c r="F41">
        <f t="shared" si="1"/>
        <v>220000</v>
      </c>
    </row>
    <row r="42" spans="1:6" x14ac:dyDescent="0.25">
      <c r="A42" t="s">
        <v>222</v>
      </c>
      <c r="B42" s="9" t="s">
        <v>277</v>
      </c>
      <c r="C42" t="s">
        <v>325</v>
      </c>
      <c r="D42">
        <v>500</v>
      </c>
      <c r="E42">
        <v>8</v>
      </c>
      <c r="F42">
        <f t="shared" si="1"/>
        <v>4000</v>
      </c>
    </row>
    <row r="43" spans="1:6" x14ac:dyDescent="0.25">
      <c r="A43" t="s">
        <v>222</v>
      </c>
      <c r="B43" s="9" t="s">
        <v>277</v>
      </c>
      <c r="C43" t="s">
        <v>348</v>
      </c>
      <c r="D43">
        <v>400</v>
      </c>
      <c r="E43">
        <v>10</v>
      </c>
      <c r="F43">
        <f t="shared" si="1"/>
        <v>4000</v>
      </c>
    </row>
    <row r="44" spans="1:6" x14ac:dyDescent="0.25">
      <c r="A44" t="s">
        <v>222</v>
      </c>
      <c r="B44" s="9" t="s">
        <v>277</v>
      </c>
      <c r="C44" t="s">
        <v>329</v>
      </c>
      <c r="D44">
        <v>400</v>
      </c>
      <c r="E44">
        <v>22</v>
      </c>
      <c r="F44">
        <f t="shared" si="1"/>
        <v>8800</v>
      </c>
    </row>
    <row r="45" spans="1:6" x14ac:dyDescent="0.25">
      <c r="A45" t="s">
        <v>222</v>
      </c>
      <c r="B45" s="9" t="s">
        <v>277</v>
      </c>
      <c r="C45" t="s">
        <v>343</v>
      </c>
      <c r="D45">
        <v>14000</v>
      </c>
      <c r="E45">
        <v>2</v>
      </c>
      <c r="F45">
        <f t="shared" si="1"/>
        <v>28000</v>
      </c>
    </row>
    <row r="46" spans="1:6" x14ac:dyDescent="0.25">
      <c r="A46" t="s">
        <v>222</v>
      </c>
      <c r="B46" s="9" t="s">
        <v>277</v>
      </c>
      <c r="C46" t="s">
        <v>316</v>
      </c>
      <c r="D46">
        <v>3000</v>
      </c>
      <c r="E46">
        <v>1</v>
      </c>
      <c r="F46">
        <f t="shared" si="1"/>
        <v>3000</v>
      </c>
    </row>
    <row r="47" spans="1:6" x14ac:dyDescent="0.25">
      <c r="A47" t="s">
        <v>222</v>
      </c>
      <c r="B47" s="9" t="s">
        <v>277</v>
      </c>
      <c r="C47" t="s">
        <v>291</v>
      </c>
      <c r="D47">
        <v>100</v>
      </c>
      <c r="E47">
        <v>10</v>
      </c>
      <c r="F47">
        <f t="shared" si="1"/>
        <v>1000</v>
      </c>
    </row>
    <row r="48" spans="1:6" x14ac:dyDescent="0.25">
      <c r="A48" t="s">
        <v>222</v>
      </c>
      <c r="B48" s="9" t="s">
        <v>277</v>
      </c>
      <c r="C48" t="s">
        <v>297</v>
      </c>
      <c r="D48">
        <v>1200</v>
      </c>
      <c r="E48">
        <v>15</v>
      </c>
      <c r="F48">
        <f t="shared" si="1"/>
        <v>18000</v>
      </c>
    </row>
    <row r="49" spans="1:6" x14ac:dyDescent="0.25">
      <c r="A49" t="s">
        <v>222</v>
      </c>
      <c r="B49" s="9" t="s">
        <v>277</v>
      </c>
      <c r="C49" t="s">
        <v>298</v>
      </c>
      <c r="D49">
        <v>1000</v>
      </c>
      <c r="E49">
        <v>8</v>
      </c>
      <c r="F49">
        <f t="shared" si="1"/>
        <v>8000</v>
      </c>
    </row>
    <row r="50" spans="1:6" x14ac:dyDescent="0.25">
      <c r="A50" t="s">
        <v>222</v>
      </c>
      <c r="B50" s="9" t="s">
        <v>277</v>
      </c>
      <c r="C50" t="s">
        <v>339</v>
      </c>
      <c r="D50">
        <v>18000</v>
      </c>
      <c r="E50">
        <v>1</v>
      </c>
      <c r="F50">
        <f t="shared" si="1"/>
        <v>18000</v>
      </c>
    </row>
    <row r="51" spans="1:6" x14ac:dyDescent="0.25">
      <c r="A51" t="s">
        <v>222</v>
      </c>
      <c r="B51" s="9" t="s">
        <v>277</v>
      </c>
      <c r="C51" t="s">
        <v>321</v>
      </c>
      <c r="D51">
        <v>2500</v>
      </c>
      <c r="E51">
        <v>5</v>
      </c>
      <c r="F51">
        <f t="shared" si="1"/>
        <v>12500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3C8F-B3F6-4037-B94C-2F01D5767C0D}">
  <dimension ref="A1:E6"/>
  <sheetViews>
    <sheetView workbookViewId="0">
      <selection activeCell="E6" sqref="E6"/>
    </sheetView>
  </sheetViews>
  <sheetFormatPr defaultRowHeight="15" x14ac:dyDescent="0.25"/>
  <cols>
    <col min="1" max="1" width="11.140625" bestFit="1" customWidth="1"/>
    <col min="2" max="2" width="14.28515625" bestFit="1" customWidth="1"/>
    <col min="3" max="3" width="14.5703125" bestFit="1" customWidth="1"/>
    <col min="4" max="4" width="18.28515625" bestFit="1" customWidth="1"/>
    <col min="5" max="5" width="15.7109375" bestFit="1" customWidth="1"/>
  </cols>
  <sheetData>
    <row r="1" spans="1:5" x14ac:dyDescent="0.25">
      <c r="A1" t="s">
        <v>156</v>
      </c>
      <c r="B1" t="s">
        <v>157</v>
      </c>
      <c r="C1" t="s">
        <v>159</v>
      </c>
      <c r="D1" t="s">
        <v>214</v>
      </c>
      <c r="E1" t="s">
        <v>215</v>
      </c>
    </row>
    <row r="2" spans="1:5" x14ac:dyDescent="0.25">
      <c r="A2" t="s">
        <v>228</v>
      </c>
      <c r="B2" t="s">
        <v>168</v>
      </c>
      <c r="C2">
        <v>3446478</v>
      </c>
      <c r="D2" t="s">
        <v>349</v>
      </c>
      <c r="E2">
        <v>30000</v>
      </c>
    </row>
    <row r="3" spans="1:5" x14ac:dyDescent="0.25">
      <c r="A3" t="s">
        <v>238</v>
      </c>
      <c r="B3" t="s">
        <v>178</v>
      </c>
      <c r="C3">
        <v>6534344</v>
      </c>
      <c r="D3" t="s">
        <v>344</v>
      </c>
      <c r="E3">
        <v>30000</v>
      </c>
    </row>
    <row r="4" spans="1:5" x14ac:dyDescent="0.25">
      <c r="A4" t="s">
        <v>266</v>
      </c>
      <c r="B4" t="s">
        <v>206</v>
      </c>
      <c r="C4">
        <v>3232434</v>
      </c>
      <c r="D4" t="s">
        <v>309</v>
      </c>
      <c r="E4">
        <v>8000</v>
      </c>
    </row>
    <row r="5" spans="1:5" x14ac:dyDescent="0.25">
      <c r="A5" t="s">
        <v>246</v>
      </c>
      <c r="B5" t="s">
        <v>186</v>
      </c>
      <c r="C5">
        <v>1324535</v>
      </c>
      <c r="D5" t="s">
        <v>316</v>
      </c>
      <c r="E5">
        <v>5000</v>
      </c>
    </row>
    <row r="6" spans="1:5" x14ac:dyDescent="0.25">
      <c r="A6" t="s">
        <v>244</v>
      </c>
      <c r="B6" t="s">
        <v>184</v>
      </c>
      <c r="C6">
        <v>5799078</v>
      </c>
      <c r="D6" t="s">
        <v>309</v>
      </c>
      <c r="E6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Employee</vt:lpstr>
      <vt:lpstr>Attendance</vt:lpstr>
      <vt:lpstr>Customers</vt:lpstr>
      <vt:lpstr>Inventory</vt:lpstr>
      <vt:lpstr>Sales</vt:lpstr>
      <vt:lpstr>Refund_return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Ul  Haq</dc:creator>
  <cp:lastModifiedBy>iraj amir</cp:lastModifiedBy>
  <dcterms:created xsi:type="dcterms:W3CDTF">2020-12-11T13:01:25Z</dcterms:created>
  <dcterms:modified xsi:type="dcterms:W3CDTF">2022-11-22T15:04:51Z</dcterms:modified>
</cp:coreProperties>
</file>